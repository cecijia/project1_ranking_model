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马嘉文\Desktop\5910project\original_data\"/>
    </mc:Choice>
  </mc:AlternateContent>
  <xr:revisionPtr revIDLastSave="0" documentId="13_ncr:1_{E45C39D2-E8E1-4EA9-A18F-AB8B47D0BC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p250_data" sheetId="1" r:id="rId1"/>
  </sheets>
  <definedNames>
    <definedName name="_xlnm._FilterDatabase" localSheetId="0" hidden="1">top250_data!$A$1:$T$251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" i="1"/>
</calcChain>
</file>

<file path=xl/sharedStrings.xml><?xml version="1.0" encoding="utf-8"?>
<sst xmlns="http://schemas.openxmlformats.org/spreadsheetml/2006/main" count="1730" uniqueCount="1057">
  <si>
    <t>rank</t>
  </si>
  <si>
    <t>name</t>
  </si>
  <si>
    <t>score</t>
  </si>
  <si>
    <t>intro</t>
  </si>
  <si>
    <t>link</t>
  </si>
  <si>
    <t>year</t>
  </si>
  <si>
    <t>type1</t>
  </si>
  <si>
    <t>tyep2</t>
  </si>
  <si>
    <t>duration</t>
  </si>
  <si>
    <t>director</t>
  </si>
  <si>
    <t>writer</t>
  </si>
  <si>
    <t>comment_num</t>
  </si>
  <si>
    <t>rating_num</t>
  </si>
  <si>
    <t>star5</t>
  </si>
  <si>
    <t>star4</t>
  </si>
  <si>
    <t>star3</t>
  </si>
  <si>
    <t>star2</t>
  </si>
  <si>
    <t>star1</t>
  </si>
  <si>
    <t>肖申克的救赎</t>
  </si>
  <si>
    <t>希望让人自由。</t>
  </si>
  <si>
    <t>https://movie.douban.com/subject/1292052/</t>
  </si>
  <si>
    <t>剧情</t>
  </si>
  <si>
    <t>犯罪</t>
  </si>
  <si>
    <t>弗兰克·德拉邦特</t>
  </si>
  <si>
    <t>霸王别姬</t>
  </si>
  <si>
    <t>风华绝代。</t>
  </si>
  <si>
    <t>https://movie.douban.com/subject/1291546/</t>
  </si>
  <si>
    <t>爱情</t>
  </si>
  <si>
    <t>陈凯歌</t>
  </si>
  <si>
    <t>芦苇</t>
  </si>
  <si>
    <t>阿甘正传</t>
  </si>
  <si>
    <t>一部美国近现代史。</t>
  </si>
  <si>
    <t>https://movie.douban.com/subject/1292720/</t>
  </si>
  <si>
    <t>罗伯特·泽米吉斯</t>
  </si>
  <si>
    <t>艾瑞克·罗斯</t>
  </si>
  <si>
    <t>泰坦尼克号</t>
  </si>
  <si>
    <t xml:space="preserve">失去的才是永恒的。 </t>
  </si>
  <si>
    <t>https://movie.douban.com/subject/1292722/</t>
  </si>
  <si>
    <t>詹姆斯·卡梅隆</t>
  </si>
  <si>
    <t>这个杀手不太冷</t>
  </si>
  <si>
    <t>怪蜀黍和小萝莉不得不说的故事。</t>
  </si>
  <si>
    <t>https://movie.douban.com/subject/1295644/</t>
  </si>
  <si>
    <t>动作</t>
  </si>
  <si>
    <t>吕克·贝松</t>
  </si>
  <si>
    <t>美丽人生</t>
  </si>
  <si>
    <t>最美的谎言。</t>
  </si>
  <si>
    <t>https://movie.douban.com/subject/1292063/</t>
  </si>
  <si>
    <t>喜剧</t>
  </si>
  <si>
    <t>罗伯托·贝尼尼</t>
  </si>
  <si>
    <t>温琴佐·切拉米</t>
  </si>
  <si>
    <t>千与千寻</t>
  </si>
  <si>
    <t xml:space="preserve">最好的宫崎骏，最好的久石让。 </t>
  </si>
  <si>
    <t>https://movie.douban.com/subject/1291561/</t>
  </si>
  <si>
    <t>动画</t>
  </si>
  <si>
    <t>宫崎骏</t>
  </si>
  <si>
    <t>辛德勒的名单</t>
  </si>
  <si>
    <t>拯救一个人，就是拯救整个世界。</t>
  </si>
  <si>
    <t>https://movie.douban.com/subject/1295124/</t>
  </si>
  <si>
    <t>历史</t>
  </si>
  <si>
    <t>史蒂文·斯皮尔伯格</t>
  </si>
  <si>
    <t>托马斯·肯尼利</t>
  </si>
  <si>
    <t>盗梦空间</t>
  </si>
  <si>
    <t>诺兰给了我们一场无法盗取的梦。</t>
  </si>
  <si>
    <t>https://movie.douban.com/subject/3541415/</t>
  </si>
  <si>
    <t>科幻</t>
  </si>
  <si>
    <t>克里斯托弗·诺兰</t>
  </si>
  <si>
    <t>星际穿越</t>
  </si>
  <si>
    <t>爱是一种力量，让我们超越时空感知它的存在。</t>
  </si>
  <si>
    <t>https://movie.douban.com/subject/1889243/</t>
  </si>
  <si>
    <t>乔纳森·诺兰</t>
  </si>
  <si>
    <t>忠犬八公的故事</t>
  </si>
  <si>
    <t>永远都不能忘记你所爱的人。</t>
  </si>
  <si>
    <t>https://movie.douban.com/subject/3011091/</t>
  </si>
  <si>
    <t>拉斯·霍尔斯道姆</t>
  </si>
  <si>
    <t>斯蒂芬·P·林赛</t>
  </si>
  <si>
    <t>楚门的世界</t>
  </si>
  <si>
    <t>如果再也不能见到你，祝你早安，午安，晚安。</t>
  </si>
  <si>
    <t>https://movie.douban.com/subject/1292064/</t>
  </si>
  <si>
    <t>彼得·威尔</t>
  </si>
  <si>
    <t>安德鲁·尼科尔</t>
  </si>
  <si>
    <t>海上钢琴师</t>
  </si>
  <si>
    <t xml:space="preserve">每个人都要走一条自己坚定了的路，就算是粉身碎骨。 </t>
  </si>
  <si>
    <t>https://movie.douban.com/subject/1292001/</t>
  </si>
  <si>
    <t>音乐</t>
  </si>
  <si>
    <t>朱塞佩·托纳多雷</t>
  </si>
  <si>
    <t>亚利桑德罗·巴里克</t>
  </si>
  <si>
    <t>三傻大闹宝莱坞</t>
  </si>
  <si>
    <t>英俊版憨豆，高情商版谢耳朵。</t>
  </si>
  <si>
    <t>https://movie.douban.com/subject/3793023/</t>
  </si>
  <si>
    <t>拉吉库马尔·希拉尼</t>
  </si>
  <si>
    <t>维德胡·维诺德·乔普拉</t>
  </si>
  <si>
    <t>机器人总动员</t>
  </si>
  <si>
    <t>小瓦力，大人生。</t>
  </si>
  <si>
    <t>https://movie.douban.com/subject/2131459/</t>
  </si>
  <si>
    <t>安德鲁·斯坦顿</t>
  </si>
  <si>
    <t>放牛班的春天</t>
  </si>
  <si>
    <t xml:space="preserve">天籁一般的童声，是最接近上帝的存在。 </t>
  </si>
  <si>
    <t>https://movie.douban.com/subject/1291549/</t>
  </si>
  <si>
    <t>克里斯托夫·巴拉蒂</t>
  </si>
  <si>
    <t>乔治·沙普罗</t>
  </si>
  <si>
    <t>无间道</t>
  </si>
  <si>
    <t>香港电影史上永不过时的杰作。</t>
  </si>
  <si>
    <t>https://movie.douban.com/subject/1307914/</t>
  </si>
  <si>
    <t>惊悚</t>
  </si>
  <si>
    <t>刘伟强</t>
  </si>
  <si>
    <t>麦兆辉</t>
  </si>
  <si>
    <t>疯狂动物城</t>
  </si>
  <si>
    <t>迪士尼给我们营造的乌托邦就是这样，永远善良勇敢，永远出乎意料。</t>
  </si>
  <si>
    <t>https://movie.douban.com/subject/25662329/</t>
  </si>
  <si>
    <t>拜伦·霍华德</t>
  </si>
  <si>
    <t>大话西游之大圣娶亲</t>
  </si>
  <si>
    <t>一生所爱。</t>
  </si>
  <si>
    <t>https://movie.douban.com/subject/1292213/</t>
  </si>
  <si>
    <t>刘镇伟</t>
  </si>
  <si>
    <t>控方证人</t>
  </si>
  <si>
    <t>比利·怀德满分作品。</t>
  </si>
  <si>
    <t>https://movie.douban.com/subject/1296141/</t>
  </si>
  <si>
    <t>悬疑</t>
  </si>
  <si>
    <t>比利·怀尔德</t>
  </si>
  <si>
    <t>阿加莎·克里斯蒂</t>
  </si>
  <si>
    <t>熔炉</t>
  </si>
  <si>
    <t>我们一路奋战不是为了改变世界，而是为了不让世界改变我们。</t>
  </si>
  <si>
    <t>https://movie.douban.com/subject/5912992/</t>
  </si>
  <si>
    <t>黄东赫</t>
  </si>
  <si>
    <t>教父</t>
  </si>
  <si>
    <t>千万不要记恨你的对手，这样会让你失去理智。</t>
  </si>
  <si>
    <t>https://movie.douban.com/subject/1291841/</t>
  </si>
  <si>
    <t>弗朗西斯·福特·科波拉</t>
  </si>
  <si>
    <t>马里奥·普佐</t>
  </si>
  <si>
    <t>当幸福来敲门</t>
  </si>
  <si>
    <t xml:space="preserve">平民励志片。 </t>
  </si>
  <si>
    <t>https://movie.douban.com/subject/1849031/</t>
  </si>
  <si>
    <t>家庭</t>
  </si>
  <si>
    <t>加布里埃莱·穆奇诺</t>
  </si>
  <si>
    <t>斯蒂夫·康拉德</t>
  </si>
  <si>
    <t>触不可及</t>
  </si>
  <si>
    <t>满满温情的高雅喜剧。</t>
  </si>
  <si>
    <t>https://movie.douban.com/subject/6786002/</t>
  </si>
  <si>
    <t>奥利维埃·纳卡什</t>
  </si>
  <si>
    <t>怦然心动</t>
  </si>
  <si>
    <t>真正的幸福是来自内心深处。</t>
  </si>
  <si>
    <t>https://movie.douban.com/subject/3319755/</t>
  </si>
  <si>
    <t>罗伯·莱纳</t>
  </si>
  <si>
    <t>龙猫</t>
  </si>
  <si>
    <t>人人心中都有个龙猫，童年就永远不会消失。</t>
  </si>
  <si>
    <t>https://movie.douban.com/subject/1291560/</t>
  </si>
  <si>
    <t>奇幻</t>
  </si>
  <si>
    <t>末代皇帝</t>
  </si>
  <si>
    <t>“不要跟我比惨，我比你更惨”再适合这部电影不过了。</t>
  </si>
  <si>
    <t>https://movie.douban.com/subject/1293172/</t>
  </si>
  <si>
    <t>传记</t>
  </si>
  <si>
    <t>贝纳尔多·贝托鲁奇</t>
  </si>
  <si>
    <t>寻梦环游记</t>
  </si>
  <si>
    <t>死亡不是真的逝去，遗忘才是永恒的消亡。</t>
  </si>
  <si>
    <t>https://movie.douban.com/subject/20495023/</t>
  </si>
  <si>
    <t>李·昂克里奇</t>
  </si>
  <si>
    <t>阿德里安·莫利纳</t>
  </si>
  <si>
    <t>蝙蝠侠：黑暗骑士</t>
  </si>
  <si>
    <t>无尽的黑暗。</t>
  </si>
  <si>
    <t>https://movie.douban.com/subject/1851857/</t>
  </si>
  <si>
    <t>活着</t>
  </si>
  <si>
    <t>张艺谋最好的电影。</t>
  </si>
  <si>
    <t>https://movie.douban.com/subject/1292365/</t>
  </si>
  <si>
    <t>张艺谋</t>
  </si>
  <si>
    <t>哈利·波特与魔法石</t>
  </si>
  <si>
    <t>童话世界的开端。</t>
  </si>
  <si>
    <t>https://movie.douban.com/subject/1295038/</t>
  </si>
  <si>
    <t>冒险</t>
  </si>
  <si>
    <t>克里斯·哥伦布</t>
  </si>
  <si>
    <t>史蒂夫·克洛夫斯</t>
  </si>
  <si>
    <t>指环王3：王者无敌</t>
  </si>
  <si>
    <t>史诗的终章。</t>
  </si>
  <si>
    <t>https://movie.douban.com/subject/1291552/</t>
  </si>
  <si>
    <t>彼得·杰克逊</t>
  </si>
  <si>
    <t>弗兰·威尔士</t>
  </si>
  <si>
    <t>乱世佳人</t>
  </si>
  <si>
    <t>Tomorrow is another day.</t>
  </si>
  <si>
    <t>https://movie.douban.com/subject/1300267/</t>
  </si>
  <si>
    <t>维克多·弗莱明</t>
  </si>
  <si>
    <t>玛格丽特·米歇尔</t>
  </si>
  <si>
    <t>素媛</t>
  </si>
  <si>
    <t>受过伤害的人总是笑得最开心，因为他们不愿意让身边的人承受一样的痛苦。</t>
  </si>
  <si>
    <t>https://movie.douban.com/subject/21937452/</t>
  </si>
  <si>
    <t>李濬益</t>
  </si>
  <si>
    <t>金智慧</t>
  </si>
  <si>
    <t>飞屋环游记</t>
  </si>
  <si>
    <t xml:space="preserve">最后那些最无聊的事情，才是最值得怀念的。 </t>
  </si>
  <si>
    <t>https://movie.douban.com/subject/2129039/</t>
  </si>
  <si>
    <t>彼特·道格特</t>
  </si>
  <si>
    <t>我不是药神</t>
  </si>
  <si>
    <t>对我们国家而言，这样的电影多一部是一部。</t>
  </si>
  <si>
    <t>https://movie.douban.com/subject/26752088/</t>
  </si>
  <si>
    <t>文牧野</t>
  </si>
  <si>
    <t>韩家女</t>
  </si>
  <si>
    <t>摔跤吧！爸爸</t>
  </si>
  <si>
    <t>你不是在为你一个人战斗，你要让千千万万的女性看到女生并不是只能相夫教子。</t>
  </si>
  <si>
    <t>https://movie.douban.com/subject/26387939/</t>
  </si>
  <si>
    <t>涅提·蒂瓦里</t>
  </si>
  <si>
    <t>比于什·古普塔</t>
  </si>
  <si>
    <t>何以为家</t>
  </si>
  <si>
    <t>凝视卑弱生命，用电影改变命运。</t>
  </si>
  <si>
    <t>https://movie.douban.com/subject/30170448/</t>
  </si>
  <si>
    <t>娜丁·拉巴基</t>
  </si>
  <si>
    <t>十二怒汉</t>
  </si>
  <si>
    <t xml:space="preserve">1957年的理想主义。 </t>
  </si>
  <si>
    <t>https://movie.douban.com/subject/1293182/</t>
  </si>
  <si>
    <t>西德尼·吕美特</t>
  </si>
  <si>
    <t>雷金纳德·罗斯</t>
  </si>
  <si>
    <t>哈尔的移动城堡</t>
  </si>
  <si>
    <t>带着心爱的人在天空飞翔。</t>
  </si>
  <si>
    <t>https://movie.douban.com/subject/1308807/</t>
  </si>
  <si>
    <t>鬼子来了</t>
  </si>
  <si>
    <t>对敌人的仁慈，就是对自己残忍。</t>
  </si>
  <si>
    <t>https://movie.douban.com/subject/1291858/</t>
  </si>
  <si>
    <t>姜文</t>
  </si>
  <si>
    <t>少年派的奇幻漂流</t>
  </si>
  <si>
    <t>瑰丽壮观、无人能及的冒险之旅。</t>
  </si>
  <si>
    <t>https://movie.douban.com/subject/1929463/</t>
  </si>
  <si>
    <t>李安</t>
  </si>
  <si>
    <t>扬·马特尔</t>
  </si>
  <si>
    <t>猫鼠游戏</t>
  </si>
  <si>
    <t xml:space="preserve">骗子大师和执著警探的你追我跑故事。 </t>
  </si>
  <si>
    <t>https://movie.douban.com/subject/1305487/</t>
  </si>
  <si>
    <t>杰夫·内桑森</t>
  </si>
  <si>
    <t>让子弹飞</t>
  </si>
  <si>
    <t>你给我翻译翻译，神马叫做TMD的惊喜。</t>
  </si>
  <si>
    <t>https://movie.douban.com/subject/3742360/</t>
  </si>
  <si>
    <t>朱苏进</t>
  </si>
  <si>
    <t>大话西游之月光宝盒</t>
  </si>
  <si>
    <t>旷古烁今。</t>
  </si>
  <si>
    <t>https://movie.douban.com/subject/1299398/</t>
  </si>
  <si>
    <t>天空之城</t>
  </si>
  <si>
    <t xml:space="preserve">对天空的追逐，永不停止。 </t>
  </si>
  <si>
    <t>https://movie.douban.com/subject/1291583/</t>
  </si>
  <si>
    <t>钢琴家</t>
  </si>
  <si>
    <t>音乐能化解仇恨。</t>
  </si>
  <si>
    <t>https://movie.douban.com/subject/1296736/</t>
  </si>
  <si>
    <t>罗曼·波兰斯基</t>
  </si>
  <si>
    <t>罗纳德·哈伍德</t>
  </si>
  <si>
    <t>指环王2：双塔奇兵</t>
  </si>
  <si>
    <t>承前启后的史诗篇章。</t>
  </si>
  <si>
    <t>https://movie.douban.com/subject/1291572/</t>
  </si>
  <si>
    <t>海蒂和爷爷</t>
  </si>
  <si>
    <t>如果生活中有什么使你感到快乐，那就去做吧！不要管别人说什么。</t>
  </si>
  <si>
    <t>https://movie.douban.com/subject/25958717/</t>
  </si>
  <si>
    <t>阿兰·葛斯彭纳</t>
  </si>
  <si>
    <t>约翰娜·施皮里</t>
  </si>
  <si>
    <t>闻香识女人</t>
  </si>
  <si>
    <t>史上最美的探戈。</t>
  </si>
  <si>
    <t>https://movie.douban.com/subject/1298624/</t>
  </si>
  <si>
    <t>马丁·布莱斯特</t>
  </si>
  <si>
    <t>博·古德曼</t>
  </si>
  <si>
    <t>天堂电影院</t>
  </si>
  <si>
    <t>那些吻戏，那些青春，都在影院的黑暗里被泪水冲刷得无比清晰。</t>
  </si>
  <si>
    <t>https://movie.douban.com/subject/1291828/</t>
  </si>
  <si>
    <t>罗马假日</t>
  </si>
  <si>
    <t>爱情哪怕只有一天。</t>
  </si>
  <si>
    <t>https://movie.douban.com/subject/1293839/</t>
  </si>
  <si>
    <t>威廉·惠勒</t>
  </si>
  <si>
    <t>达尔顿·特朗勃</t>
  </si>
  <si>
    <t>指环王1：护戒使者</t>
  </si>
  <si>
    <t>传说的开始。</t>
  </si>
  <si>
    <t>https://movie.douban.com/subject/1291571/</t>
  </si>
  <si>
    <t>大闹天宫</t>
  </si>
  <si>
    <t>经典之作，历久弥新。</t>
  </si>
  <si>
    <t>https://movie.douban.com/subject/1418019/</t>
  </si>
  <si>
    <t>万籁鸣</t>
  </si>
  <si>
    <t>李克弱</t>
  </si>
  <si>
    <t>黑客帝国</t>
  </si>
  <si>
    <t>视觉革命。</t>
  </si>
  <si>
    <t>https://movie.douban.com/subject/1291843/</t>
  </si>
  <si>
    <t>莉莉·沃卓斯基</t>
  </si>
  <si>
    <t>死亡诗社</t>
  </si>
  <si>
    <t>当一个死水般的体制内出现一个活跃的变数时，所有的腐臭都站在了光明的对面。</t>
  </si>
  <si>
    <t>https://movie.douban.com/subject/1291548/</t>
  </si>
  <si>
    <t>汤姆·舒尔曼</t>
  </si>
  <si>
    <t>绿皮书</t>
  </si>
  <si>
    <t>去除成见，需要勇气。</t>
  </si>
  <si>
    <t>https://movie.douban.com/subject/27060077/</t>
  </si>
  <si>
    <t>彼得·法雷里</t>
  </si>
  <si>
    <t>尼克·瓦莱隆加</t>
  </si>
  <si>
    <t>教父2</t>
  </si>
  <si>
    <t>优雅的孤独。</t>
  </si>
  <si>
    <t>https://movie.douban.com/subject/1299131/</t>
  </si>
  <si>
    <t>狮子王</t>
  </si>
  <si>
    <t>动物版《哈姆雷特》。</t>
  </si>
  <si>
    <t>https://movie.douban.com/subject/1301753/</t>
  </si>
  <si>
    <t>歌舞</t>
  </si>
  <si>
    <t>罗杰·阿勒斯</t>
  </si>
  <si>
    <t>艾琳·梅琪</t>
  </si>
  <si>
    <t>辩护人</t>
  </si>
  <si>
    <t>电影的现实意义大过电影本身。</t>
  </si>
  <si>
    <t>https://movie.douban.com/subject/21937445/</t>
  </si>
  <si>
    <t>杨宇硕</t>
  </si>
  <si>
    <t>搏击俱乐部</t>
  </si>
  <si>
    <t>邪恶与平庸蛰伏于同一个母体，在特定的时间互相对峙。</t>
  </si>
  <si>
    <t>https://movie.douban.com/subject/1292000/</t>
  </si>
  <si>
    <t>大卫·芬奇</t>
  </si>
  <si>
    <t>恰克·帕拉尼克</t>
  </si>
  <si>
    <t>饮食男女</t>
  </si>
  <si>
    <t>人生不能像做菜，把所有的料都准备好了才下锅。</t>
  </si>
  <si>
    <t>https://movie.douban.com/subject/1291818/</t>
  </si>
  <si>
    <t>美丽心灵</t>
  </si>
  <si>
    <t>爱是一切逻辑和原由。</t>
  </si>
  <si>
    <t>https://movie.douban.com/subject/1306029/</t>
  </si>
  <si>
    <t>朗·霍华德</t>
  </si>
  <si>
    <t>阿齐瓦·高斯曼</t>
  </si>
  <si>
    <t>本杰明·巴顿奇事</t>
  </si>
  <si>
    <t>在时间之河里感受溺水之苦。</t>
  </si>
  <si>
    <t>https://movie.douban.com/subject/1485260/</t>
  </si>
  <si>
    <t>穿条纹睡衣的男孩</t>
  </si>
  <si>
    <t>尽管有些不切实际的幻想，这部电影依旧是一部感人肺腑的佳作。</t>
  </si>
  <si>
    <t>https://movie.douban.com/subject/3008247/</t>
  </si>
  <si>
    <t>战争</t>
  </si>
  <si>
    <t>马克·赫尔曼</t>
  </si>
  <si>
    <t>约翰·伯恩</t>
  </si>
  <si>
    <t>窃听风暴</t>
  </si>
  <si>
    <t>别样人生。</t>
  </si>
  <si>
    <t>https://movie.douban.com/subject/1900841/</t>
  </si>
  <si>
    <t>弗洛里安·亨克尔·冯·多纳斯马尔克</t>
  </si>
  <si>
    <t>情书</t>
  </si>
  <si>
    <t>暗恋的极致。</t>
  </si>
  <si>
    <t>https://movie.douban.com/subject/1292220/</t>
  </si>
  <si>
    <t>岩井俊二</t>
  </si>
  <si>
    <t>两杆大烟枪</t>
  </si>
  <si>
    <t>4个臭皮匠顶个诸葛亮，盖·里奇果然不是盖的。</t>
  </si>
  <si>
    <t>https://movie.douban.com/subject/1293350/</t>
  </si>
  <si>
    <t>盖·里奇</t>
  </si>
  <si>
    <t>西西里的美丽传说</t>
  </si>
  <si>
    <t>美丽无罪。</t>
  </si>
  <si>
    <t>https://movie.douban.com/subject/1292402/</t>
  </si>
  <si>
    <t>情色</t>
  </si>
  <si>
    <t>音乐之声</t>
  </si>
  <si>
    <t>用音乐化解仇恨，让歌声串起美好。</t>
  </si>
  <si>
    <t>https://movie.douban.com/subject/1294408/</t>
  </si>
  <si>
    <t>罗伯特·怀斯</t>
  </si>
  <si>
    <t>乔治·胡达勒克</t>
  </si>
  <si>
    <t>看不见的客人</t>
  </si>
  <si>
    <t>你以为你以为的就是你以为的。</t>
  </si>
  <si>
    <t>https://movie.douban.com/subject/26580232/</t>
  </si>
  <si>
    <t>奥里奥尔·保罗</t>
  </si>
  <si>
    <t>拯救大兵瑞恩</t>
  </si>
  <si>
    <t>美利坚精神输出大片No1.</t>
  </si>
  <si>
    <t>https://movie.douban.com/subject/1292849/</t>
  </si>
  <si>
    <t>罗伯特·罗达特</t>
  </si>
  <si>
    <t>飞越疯人院</t>
  </si>
  <si>
    <t>自由万岁。</t>
  </si>
  <si>
    <t>https://movie.douban.com/subject/1292224/</t>
  </si>
  <si>
    <t>米洛斯·福尔曼</t>
  </si>
  <si>
    <t>劳伦斯·奥邦</t>
  </si>
  <si>
    <t>小鞋子</t>
  </si>
  <si>
    <t>奔跑的孩子是天使。</t>
  </si>
  <si>
    <t>https://movie.douban.com/subject/1303021/</t>
  </si>
  <si>
    <t>马基德·马基迪</t>
  </si>
  <si>
    <t>阿凡达</t>
  </si>
  <si>
    <t>绝对意义上的美轮美奂。</t>
  </si>
  <si>
    <t>https://movie.douban.com/subject/1652587/</t>
  </si>
  <si>
    <t>哈利·波特与死亡圣器(下)</t>
  </si>
  <si>
    <t>10年的完美句点。</t>
  </si>
  <si>
    <t>https://movie.douban.com/subject/3011235/</t>
  </si>
  <si>
    <t>大卫·叶茨</t>
  </si>
  <si>
    <t>沉默的羔羊</t>
  </si>
  <si>
    <t>安东尼·霍普金斯的顶级表演。</t>
  </si>
  <si>
    <t>https://movie.douban.com/subject/1293544/</t>
  </si>
  <si>
    <t>乔纳森·戴米</t>
  </si>
  <si>
    <t>托马斯·哈里斯</t>
  </si>
  <si>
    <t>致命魔术</t>
  </si>
  <si>
    <t>孪生蝙蝠侠大战克隆金刚狼。</t>
  </si>
  <si>
    <t>https://movie.douban.com/subject/1780330/</t>
  </si>
  <si>
    <t>禁闭岛</t>
  </si>
  <si>
    <t>昔日翩翩少年，今日大腹便便。</t>
  </si>
  <si>
    <t>https://movie.douban.com/subject/2334904/</t>
  </si>
  <si>
    <t>马丁·斯科塞斯</t>
  </si>
  <si>
    <t>莱塔·卡罗格里迪斯</t>
  </si>
  <si>
    <t>布达佩斯大饭店</t>
  </si>
  <si>
    <t>小清新的故事里注入了大历史的情怀。</t>
  </si>
  <si>
    <t>https://movie.douban.com/subject/11525673/</t>
  </si>
  <si>
    <t>韦斯·安德森</t>
  </si>
  <si>
    <t>海豚湾</t>
  </si>
  <si>
    <t>海豚的微笑，是世界上最高明的伪装。</t>
  </si>
  <si>
    <t>https://movie.douban.com/subject/3442220/</t>
  </si>
  <si>
    <t>纪录片</t>
  </si>
  <si>
    <t>路易·西霍尤斯</t>
  </si>
  <si>
    <t>马克·蒙雷</t>
  </si>
  <si>
    <t>蝴蝶效应</t>
  </si>
  <si>
    <t>人的命运被自己瞬间的抉择改变。</t>
  </si>
  <si>
    <t>https://movie.douban.com/subject/1292343/</t>
  </si>
  <si>
    <t>埃里克·布雷斯</t>
  </si>
  <si>
    <t>J·麦基·格鲁伯</t>
  </si>
  <si>
    <t>美国往事</t>
  </si>
  <si>
    <t>往事如烟，无处祭奠。</t>
  </si>
  <si>
    <t>https://movie.douban.com/subject/1292262/</t>
  </si>
  <si>
    <t>赛尔乔·莱昂内</t>
  </si>
  <si>
    <t>皮耶罗·德·贝纳迪</t>
  </si>
  <si>
    <t>心灵捕手</t>
  </si>
  <si>
    <t>人生中应该拥有这样的一段豁然开朗。</t>
  </si>
  <si>
    <t>https://movie.douban.com/subject/1292656/</t>
  </si>
  <si>
    <t>格斯·范·桑特</t>
  </si>
  <si>
    <t>本·阿弗莱克</t>
  </si>
  <si>
    <t>低俗小说</t>
  </si>
  <si>
    <t>故事的高级讲法。</t>
  </si>
  <si>
    <t>https://movie.douban.com/subject/1291832/</t>
  </si>
  <si>
    <t>昆汀·塔伦蒂诺</t>
  </si>
  <si>
    <t>春光乍泄</t>
  </si>
  <si>
    <t>爱情纠缠，男女一致。</t>
  </si>
  <si>
    <t>https://movie.douban.com/subject/1292679/</t>
  </si>
  <si>
    <t>王家卫</t>
  </si>
  <si>
    <t>摩登时代</t>
  </si>
  <si>
    <t>大时代中的人生，小人物的悲喜。</t>
  </si>
  <si>
    <t>https://movie.douban.com/subject/1294371/</t>
  </si>
  <si>
    <t>查理·卓别林</t>
  </si>
  <si>
    <t>功夫</t>
  </si>
  <si>
    <t>警恶惩奸，维护世界和平这个任务就交给你了，好吗？</t>
  </si>
  <si>
    <t>https://movie.douban.com/subject/1291543/</t>
  </si>
  <si>
    <t>周星驰</t>
  </si>
  <si>
    <t>曾瑾昌</t>
  </si>
  <si>
    <t>喜剧之王</t>
  </si>
  <si>
    <t>我是一个演员。</t>
  </si>
  <si>
    <t>https://movie.douban.com/subject/1302425/</t>
  </si>
  <si>
    <t>七宗罪</t>
  </si>
  <si>
    <t>警察抓小偷，老鼠玩死猫。</t>
  </si>
  <si>
    <t>https://movie.douban.com/subject/1292223/</t>
  </si>
  <si>
    <t>安德鲁·凯文·沃克</t>
  </si>
  <si>
    <t>哈利·波特与阿兹卡班的囚徒</t>
  </si>
  <si>
    <t>不一样的导演，不一样的哈利·波特。</t>
  </si>
  <si>
    <t>https://movie.douban.com/subject/1291544/</t>
  </si>
  <si>
    <t>阿方索·卡隆</t>
  </si>
  <si>
    <t>超脱</t>
  </si>
  <si>
    <t>穷尽一生，我们要学会的，不过是彼此拥抱。</t>
  </si>
  <si>
    <t>https://movie.douban.com/subject/5322596/</t>
  </si>
  <si>
    <t>托尼·凯耶</t>
  </si>
  <si>
    <t>卡尔·隆德</t>
  </si>
  <si>
    <t>致命ID</t>
  </si>
  <si>
    <t>最不可能的那个人永远是最可能的。</t>
  </si>
  <si>
    <t>https://movie.douban.com/subject/1297192/</t>
  </si>
  <si>
    <t>詹姆斯·曼高德</t>
  </si>
  <si>
    <t>迈克尔·库尼</t>
  </si>
  <si>
    <t>杀人回忆</t>
  </si>
  <si>
    <t>关于连环杀人悬案的集体回忆。</t>
  </si>
  <si>
    <t>https://movie.douban.com/subject/1300299/</t>
  </si>
  <si>
    <t>奉俊昊</t>
  </si>
  <si>
    <t>红辣椒</t>
  </si>
  <si>
    <t>梦的勾结。</t>
  </si>
  <si>
    <t>https://movie.douban.com/subject/1865703/</t>
  </si>
  <si>
    <t>今敏</t>
  </si>
  <si>
    <t>水上清资</t>
  </si>
  <si>
    <t>加勒比海盗</t>
  </si>
  <si>
    <t>约翰尼·德普的独角戏。</t>
  </si>
  <si>
    <t>https://movie.douban.com/subject/1298070/</t>
  </si>
  <si>
    <t>戈尔·维宾斯基</t>
  </si>
  <si>
    <t>泰德·艾略特</t>
  </si>
  <si>
    <t>狩猎</t>
  </si>
  <si>
    <t>人言可畏。</t>
  </si>
  <si>
    <t>https://movie.douban.com/subject/6985810/</t>
  </si>
  <si>
    <t>托马斯·温特伯格</t>
  </si>
  <si>
    <t>被嫌弃的松子的一生</t>
  </si>
  <si>
    <t>以戏谑来戏谑戏谑。</t>
  </si>
  <si>
    <t>https://movie.douban.com/subject/1787291/</t>
  </si>
  <si>
    <t>中岛哲也</t>
  </si>
  <si>
    <t>7号房的礼物</t>
  </si>
  <si>
    <t>《我是山姆》的《美丽人生》。</t>
  </si>
  <si>
    <t>https://movie.douban.com/subject/10777687/</t>
  </si>
  <si>
    <t>李焕庆</t>
  </si>
  <si>
    <t>请以你的名字呼唤我</t>
  </si>
  <si>
    <t>沉醉在电影的情感和视听氛围中无法自拔。</t>
  </si>
  <si>
    <t>https://movie.douban.com/subject/26799731/</t>
  </si>
  <si>
    <t>卢卡·瓜达尼诺</t>
  </si>
  <si>
    <t>詹姆斯·伊沃里</t>
  </si>
  <si>
    <t>剪刀手爱德华</t>
  </si>
  <si>
    <t>浪漫忧郁的成人童话。</t>
  </si>
  <si>
    <t>https://movie.douban.com/subject/1292370/</t>
  </si>
  <si>
    <t>蒂姆·波顿</t>
  </si>
  <si>
    <t>唐伯虎点秋香</t>
  </si>
  <si>
    <t>华太师是黄霑，吴镇宇四大才子之一。</t>
  </si>
  <si>
    <t>https://movie.douban.com/subject/1306249/</t>
  </si>
  <si>
    <t>李力持</t>
  </si>
  <si>
    <t>哈利·波特与密室</t>
  </si>
  <si>
    <t>魔法的密室之门已打开...</t>
  </si>
  <si>
    <t>https://movie.douban.com/subject/1296996/</t>
  </si>
  <si>
    <t>一一</t>
  </si>
  <si>
    <t>我们都曾经是一一。</t>
  </si>
  <si>
    <t>https://movie.douban.com/subject/1292434/</t>
  </si>
  <si>
    <t>杨德昌</t>
  </si>
  <si>
    <t>断背山</t>
  </si>
  <si>
    <t>每个人心中都有一座断背山。</t>
  </si>
  <si>
    <t>https://movie.douban.com/subject/1418834/</t>
  </si>
  <si>
    <t>拉里·麦克穆特瑞</t>
  </si>
  <si>
    <t>勇敢的心</t>
  </si>
  <si>
    <t>史诗大片的典范。</t>
  </si>
  <si>
    <t>https://movie.douban.com/subject/1294639/</t>
  </si>
  <si>
    <t>梅尔·吉布森</t>
  </si>
  <si>
    <t>兰道尔·华莱士</t>
  </si>
  <si>
    <t>入殓师</t>
  </si>
  <si>
    <t>死可能是一道门，逝去并不是终结，而是超越，走向下一程。</t>
  </si>
  <si>
    <t>https://movie.douban.com/subject/2149806/</t>
  </si>
  <si>
    <t>泷田洋二郎</t>
  </si>
  <si>
    <t>小山薰堂</t>
  </si>
  <si>
    <t>第六感</t>
  </si>
  <si>
    <t>深入内心的恐怖，出人意料的结局。</t>
  </si>
  <si>
    <t>https://movie.douban.com/subject/1297630/</t>
  </si>
  <si>
    <t>M·奈特·沙马兰</t>
  </si>
  <si>
    <t>爱在黎明破晓前</t>
  </si>
  <si>
    <t>缘分是个连绵词，最美不过一瞬。</t>
  </si>
  <si>
    <t>https://movie.douban.com/subject/1296339/</t>
  </si>
  <si>
    <t>理查德·林克莱特</t>
  </si>
  <si>
    <t>重庆森林</t>
  </si>
  <si>
    <t>寂寞没有期限。</t>
  </si>
  <si>
    <t>https://movie.douban.com/subject/1291999/</t>
  </si>
  <si>
    <t>蝙蝠侠：黑暗骑士崛起</t>
  </si>
  <si>
    <t>诺兰就是保证。</t>
  </si>
  <si>
    <t>https://movie.douban.com/subject/3395373/</t>
  </si>
  <si>
    <t>大卫·S·高耶</t>
  </si>
  <si>
    <t>幽灵公主</t>
  </si>
  <si>
    <t>人与自然的战争史诗。</t>
  </si>
  <si>
    <t>https://movie.douban.com/subject/1297359/</t>
  </si>
  <si>
    <t>天使爱美丽</t>
  </si>
  <si>
    <t xml:space="preserve">法式小清新。 </t>
  </si>
  <si>
    <t>https://movie.douban.com/subject/1292215/</t>
  </si>
  <si>
    <t>让-皮埃尔·热内</t>
  </si>
  <si>
    <t>纪尧姆·洛朗</t>
  </si>
  <si>
    <t>菊次郎的夏天</t>
  </si>
  <si>
    <t>从没见过那么流氓的温柔，从没见过那么温柔的流氓。</t>
  </si>
  <si>
    <t>https://movie.douban.com/subject/1293359/</t>
  </si>
  <si>
    <t>北野武</t>
  </si>
  <si>
    <t>小森林 夏秋篇</t>
  </si>
  <si>
    <t>那些静得只能听见呼吸的日子里，你明白孤独即生活。</t>
  </si>
  <si>
    <t>https://movie.douban.com/subject/25814705/</t>
  </si>
  <si>
    <t>森淳一</t>
  </si>
  <si>
    <t>阳光灿烂的日子</t>
  </si>
  <si>
    <t>一场华丽的意淫。</t>
  </si>
  <si>
    <t>https://movie.douban.com/subject/1291875/</t>
  </si>
  <si>
    <t>超能陆战队</t>
  </si>
  <si>
    <t>Balalala~~~</t>
  </si>
  <si>
    <t>https://movie.douban.com/subject/11026735/</t>
  </si>
  <si>
    <t>唐·霍尔</t>
  </si>
  <si>
    <t>乔丹·罗伯茨</t>
  </si>
  <si>
    <t>爱在日落黄昏时</t>
  </si>
  <si>
    <t>九年后的重逢是世俗和责任的交叠，没了悸动和青涩，沧桑而温暖。</t>
  </si>
  <si>
    <t>https://movie.douban.com/subject/1291990/</t>
  </si>
  <si>
    <t>完美的世界</t>
  </si>
  <si>
    <t>坏人的好总是比好人的好来得更感人。</t>
  </si>
  <si>
    <t>https://movie.douban.com/subject/1300992/</t>
  </si>
  <si>
    <t>克林特·伊斯特伍德</t>
  </si>
  <si>
    <t>约翰·李·汉考克</t>
  </si>
  <si>
    <t>无人知晓</t>
  </si>
  <si>
    <t>我的平常生活就是他人的幸福。</t>
  </si>
  <si>
    <t>https://movie.douban.com/subject/1292337/</t>
  </si>
  <si>
    <t>是枝裕和</t>
  </si>
  <si>
    <t>消失的爱人</t>
  </si>
  <si>
    <t>年度最佳date movie。</t>
  </si>
  <si>
    <t>https://movie.douban.com/subject/21318488/</t>
  </si>
  <si>
    <t>吉莉恩·弗林</t>
  </si>
  <si>
    <t>甜蜜蜜</t>
  </si>
  <si>
    <t>相逢只要一瞬间，等待却像是一辈子。</t>
  </si>
  <si>
    <t>https://movie.douban.com/subject/1305164/</t>
  </si>
  <si>
    <t>陈可辛</t>
  </si>
  <si>
    <t>岸西</t>
  </si>
  <si>
    <t>借东西的小人阿莉埃蒂</t>
  </si>
  <si>
    <t>曾经的那段美好会沉淀为一辈子的记忆。</t>
  </si>
  <si>
    <t>https://movie.douban.com/subject/4202302/</t>
  </si>
  <si>
    <t>米林宏昌</t>
  </si>
  <si>
    <t>倩女幽魂</t>
  </si>
  <si>
    <t xml:space="preserve">两张绝世的脸。 </t>
  </si>
  <si>
    <t>https://movie.douban.com/subject/1297447/</t>
  </si>
  <si>
    <t>程小东</t>
  </si>
  <si>
    <t>阮继志</t>
  </si>
  <si>
    <t>小森林 冬春篇</t>
  </si>
  <si>
    <t>尊敬他人，尊敬你生活的这片土地，明白孤独是人生的常态。</t>
  </si>
  <si>
    <t>https://movie.douban.com/subject/25814707/</t>
  </si>
  <si>
    <t>侧耳倾听</t>
  </si>
  <si>
    <t>少女情怀总是诗。</t>
  </si>
  <si>
    <t>https://movie.douban.com/subject/1297052/</t>
  </si>
  <si>
    <t>近藤喜文</t>
  </si>
  <si>
    <t>时空恋旅人</t>
  </si>
  <si>
    <t>把每天当作最后一天般珍惜度过，积极拥抱生活，就是幸福。</t>
  </si>
  <si>
    <t>https://movie.douban.com/subject/10577869/</t>
  </si>
  <si>
    <t>理查德·柯蒂斯</t>
  </si>
  <si>
    <t>幸福终点站</t>
  </si>
  <si>
    <t xml:space="preserve">有时候幸福需要等一等。 </t>
  </si>
  <si>
    <t>https://movie.douban.com/subject/1292274/</t>
  </si>
  <si>
    <t>驯龙高手</t>
  </si>
  <si>
    <t>和谐的生活离不开摸头与被摸头。</t>
  </si>
  <si>
    <t>https://movie.douban.com/subject/2353023/</t>
  </si>
  <si>
    <t>迪恩·德布洛斯</t>
  </si>
  <si>
    <t>威廉姆·戴维斯</t>
  </si>
  <si>
    <t>萤火之森</t>
  </si>
  <si>
    <t>触不到的恋人。</t>
  </si>
  <si>
    <t>https://movie.douban.com/subject/5989818/</t>
  </si>
  <si>
    <t>大森贵弘</t>
  </si>
  <si>
    <t>绿川幸</t>
  </si>
  <si>
    <t>寄生虫</t>
  </si>
  <si>
    <t>https://movie.douban.com/subject/27010768/</t>
  </si>
  <si>
    <t>教父3</t>
  </si>
  <si>
    <t>任何信念的力量，都无法改变命运。</t>
  </si>
  <si>
    <t>https://movie.douban.com/subject/1294240/</t>
  </si>
  <si>
    <t>怪兽电力公司</t>
  </si>
  <si>
    <t>不要给它起名字，起了名字就有感情了。</t>
  </si>
  <si>
    <t>https://movie.douban.com/subject/1291579/</t>
  </si>
  <si>
    <t>一个叫欧维的男人决定去死</t>
  </si>
  <si>
    <t>惠及一生的美丽。</t>
  </si>
  <si>
    <t>https://movie.douban.com/subject/26628357/</t>
  </si>
  <si>
    <t>汉内斯·赫尔姆</t>
  </si>
  <si>
    <t>玛丽和马克思</t>
  </si>
  <si>
    <t>你是我最好的朋友，你是我唯一的朋友 。</t>
  </si>
  <si>
    <t>https://movie.douban.com/subject/3072124/</t>
  </si>
  <si>
    <t>亚当·艾略特</t>
  </si>
  <si>
    <t>未麻的部屋</t>
  </si>
  <si>
    <t>好的剧本是，就算你猜到了结局也猜不到全部。</t>
  </si>
  <si>
    <t>https://movie.douban.com/subject/1395091/</t>
  </si>
  <si>
    <t>村井贞之</t>
  </si>
  <si>
    <t>玩具总动员3</t>
  </si>
  <si>
    <t>跨度十五年的欢乐与泪水。</t>
  </si>
  <si>
    <t>https://movie.douban.com/subject/1858711/</t>
  </si>
  <si>
    <t>迈克尔·阿恩特</t>
  </si>
  <si>
    <t>傲慢与偏见</t>
  </si>
  <si>
    <t>爱是摈弃傲慢与偏见之后的曙光。</t>
  </si>
  <si>
    <t>https://movie.douban.com/subject/1418200/</t>
  </si>
  <si>
    <t>乔·赖特</t>
  </si>
  <si>
    <t>简·奥斯汀</t>
  </si>
  <si>
    <t>神偷奶爸</t>
  </si>
  <si>
    <t>Mr. I Don't Care其实也有Care的时候。</t>
  </si>
  <si>
    <t>https://movie.douban.com/subject/3287562/</t>
  </si>
  <si>
    <t>皮埃尔·柯芬</t>
  </si>
  <si>
    <t>肯·道里欧</t>
  </si>
  <si>
    <t>大鱼</t>
  </si>
  <si>
    <t>抱着梦想而活着的人是幸福的，怀抱梦想而死去的人是不朽的。</t>
  </si>
  <si>
    <t>https://movie.douban.com/subject/1291545/</t>
  </si>
  <si>
    <t>Daniel Wallace</t>
  </si>
  <si>
    <t>釜山行</t>
  </si>
  <si>
    <t>揭露人性的丧尸题材力作。</t>
  </si>
  <si>
    <t>https://movie.douban.com/subject/25986180/</t>
  </si>
  <si>
    <t>延尚昊</t>
  </si>
  <si>
    <t>告白</t>
  </si>
  <si>
    <t>没有一人完全善，也没有一人完全恶。</t>
  </si>
  <si>
    <t>https://movie.douban.com/subject/4268598/</t>
  </si>
  <si>
    <t>被解救的姜戈</t>
  </si>
  <si>
    <t>热血沸腾，那个低俗、性感的无耻混蛋又来了。</t>
  </si>
  <si>
    <t>https://movie.douban.com/subject/6307447/</t>
  </si>
  <si>
    <t>哈利·波特与火焰杯</t>
  </si>
  <si>
    <t>https://movie.douban.com/subject/1309055/</t>
  </si>
  <si>
    <t>迈克·内威尔</t>
  </si>
  <si>
    <t>阳光姐妹淘</t>
  </si>
  <si>
    <t xml:space="preserve">再多各自牛逼的时光，也比不上一起傻逼的岁月。 </t>
  </si>
  <si>
    <t>https://movie.douban.com/subject/4917726/</t>
  </si>
  <si>
    <t>姜炯哲</t>
  </si>
  <si>
    <t>射雕英雄传之东成西就</t>
  </si>
  <si>
    <t xml:space="preserve">百看不厌。 </t>
  </si>
  <si>
    <t>https://movie.douban.com/subject/1316510/</t>
  </si>
  <si>
    <t>哪吒闹海</t>
  </si>
  <si>
    <t>想你时你在闹海。</t>
  </si>
  <si>
    <t>https://movie.douban.com/subject/1307315/</t>
  </si>
  <si>
    <t>王树忱</t>
  </si>
  <si>
    <t>新世界</t>
  </si>
  <si>
    <t>要做就做得狠一点，这样才能活下去。</t>
  </si>
  <si>
    <t>https://movie.douban.com/subject/10437779/</t>
  </si>
  <si>
    <t>朴勋政</t>
  </si>
  <si>
    <t>我是山姆</t>
  </si>
  <si>
    <t>爱并不需要智商 。</t>
  </si>
  <si>
    <t>https://movie.douban.com/subject/1306861/</t>
  </si>
  <si>
    <t>杰茜·尼尔森</t>
  </si>
  <si>
    <t>恐怖直播</t>
  </si>
  <si>
    <t>恐怖分子的“秋菊打官司”。</t>
  </si>
  <si>
    <t>https://movie.douban.com/subject/21360417/</t>
  </si>
  <si>
    <t>金秉祐</t>
  </si>
  <si>
    <t>头号玩家</t>
  </si>
  <si>
    <t>写给影迷，动漫迷和游戏迷的一封情书。</t>
  </si>
  <si>
    <t>https://movie.douban.com/subject/4920389/</t>
  </si>
  <si>
    <t>扎克·佩恩</t>
  </si>
  <si>
    <t>模仿游戏</t>
  </si>
  <si>
    <t>他给机器起名“克里斯托弗”，因为这是他初恋的名字。</t>
  </si>
  <si>
    <t>https://movie.douban.com/subject/10463953/</t>
  </si>
  <si>
    <t>同性</t>
  </si>
  <si>
    <t>莫滕·泰杜姆</t>
  </si>
  <si>
    <t>格拉汉姆·摩尔</t>
  </si>
  <si>
    <t>血战钢锯岭</t>
  </si>
  <si>
    <t>优秀的战争片不会美化战场，不会粉饰死亡，不会矮化敌人，不会无视常识，最重要的，不会宣扬战争。</t>
  </si>
  <si>
    <t>https://movie.douban.com/subject/26325320/</t>
  </si>
  <si>
    <t>安德鲁·奈特</t>
  </si>
  <si>
    <t>喜宴</t>
  </si>
  <si>
    <t>中国家庭的喜怒哀乐忍。</t>
  </si>
  <si>
    <t>https://movie.douban.com/subject/1303037/</t>
  </si>
  <si>
    <t>七武士</t>
  </si>
  <si>
    <t>时代悲歌。</t>
  </si>
  <si>
    <t>https://movie.douban.com/subject/1295399/</t>
  </si>
  <si>
    <t>黑泽明</t>
  </si>
  <si>
    <t>花样年华</t>
  </si>
  <si>
    <t>偷情本没有这样美。</t>
  </si>
  <si>
    <t>https://movie.douban.com/subject/1291557/</t>
  </si>
  <si>
    <t>头脑特工队</t>
  </si>
  <si>
    <t>愿我们都不用长大，每一座城堡都能永远存在。</t>
  </si>
  <si>
    <t>https://movie.douban.com/subject/10533913/</t>
  </si>
  <si>
    <t>黑客帝国3：矩阵革命</t>
  </si>
  <si>
    <t>不得不说，《黑客帝国》系列是商业片与科幻、哲学完美结合的典范。</t>
  </si>
  <si>
    <t>https://movie.douban.com/subject/1302467/</t>
  </si>
  <si>
    <t>拉娜·沃卓斯基</t>
  </si>
  <si>
    <t>九品芝麻官</t>
  </si>
  <si>
    <t>https://movie.douban.com/subject/1297518/</t>
  </si>
  <si>
    <t>王晶</t>
  </si>
  <si>
    <t>电锯惊魂</t>
  </si>
  <si>
    <t>真相就在眼前。</t>
  </si>
  <si>
    <t>https://movie.douban.com/subject/1417598/</t>
  </si>
  <si>
    <t>温子仁</t>
  </si>
  <si>
    <t>三块广告牌</t>
  </si>
  <si>
    <t>怼天怼地，你走后，她与世界为敌。</t>
  </si>
  <si>
    <t>https://movie.douban.com/subject/26611804/</t>
  </si>
  <si>
    <t>马丁·麦克唐纳</t>
  </si>
  <si>
    <t>你的名字。</t>
  </si>
  <si>
    <t>穿越错位的时空，仰望陨落的星辰，你没留下你的名字，我却无法忘记那句“我爱你”。</t>
  </si>
  <si>
    <t>https://movie.douban.com/subject/26683290/</t>
  </si>
  <si>
    <t>新海诚</t>
  </si>
  <si>
    <t>惊魂记</t>
  </si>
  <si>
    <t>故事的反转与反转，分裂电影的始祖。</t>
  </si>
  <si>
    <t>https://movie.douban.com/subject/1293181/</t>
  </si>
  <si>
    <t>阿尔弗雷德·希区柯克</t>
  </si>
  <si>
    <t>约瑟夫·斯蒂凡诺</t>
  </si>
  <si>
    <t>达拉斯买家俱乐部</t>
  </si>
  <si>
    <t>Jared Leto的腿比女人还美！</t>
  </si>
  <si>
    <t>https://movie.douban.com/subject/1793929/</t>
  </si>
  <si>
    <t>让-马克·瓦雷</t>
  </si>
  <si>
    <t>克莱格·鲍登</t>
  </si>
  <si>
    <t>卢旺达饭店</t>
  </si>
  <si>
    <t>当这个世界闭上双眼，他却敞开了怀抱。</t>
  </si>
  <si>
    <t>https://movie.douban.com/subject/1291822/</t>
  </si>
  <si>
    <t>特瑞·乔治</t>
  </si>
  <si>
    <t>凯尔·皮尔森</t>
  </si>
  <si>
    <t>疯狂原始人</t>
  </si>
  <si>
    <t>老少皆宜，这就是好莱坞动画的魅力。</t>
  </si>
  <si>
    <t>https://movie.douban.com/subject/1907966/</t>
  </si>
  <si>
    <t>柯克·德·米科</t>
  </si>
  <si>
    <t>克里斯·桑德斯</t>
  </si>
  <si>
    <t>上帝之城</t>
  </si>
  <si>
    <t>被上帝抛弃了的上帝之城。</t>
  </si>
  <si>
    <t>https://movie.douban.com/subject/1292208/</t>
  </si>
  <si>
    <t>费尔南多·梅里尔斯</t>
  </si>
  <si>
    <t>保罗·林斯</t>
  </si>
  <si>
    <t>谍影重重3</t>
  </si>
  <si>
    <t>像吃了苏打饼一样干脆的电影。</t>
  </si>
  <si>
    <t>https://movie.douban.com/subject/1578507/</t>
  </si>
  <si>
    <t>保罗·格林格拉斯</t>
  </si>
  <si>
    <t>托尼·吉尔罗伊</t>
  </si>
  <si>
    <t>心迷宫</t>
  </si>
  <si>
    <t>荒诞讽刺，千奇百巧，抽丝剥茧，百转千回。</t>
  </si>
  <si>
    <t>https://movie.douban.com/subject/25917973/</t>
  </si>
  <si>
    <t>忻钰坤</t>
  </si>
  <si>
    <t>英雄本色</t>
  </si>
  <si>
    <t xml:space="preserve">英雄泪短，兄弟情长。 </t>
  </si>
  <si>
    <t>https://movie.douban.com/subject/1297574/</t>
  </si>
  <si>
    <t>吴宇森</t>
  </si>
  <si>
    <t>陈庆嘉</t>
  </si>
  <si>
    <t>风之谷</t>
  </si>
  <si>
    <t>动画片的圣经。</t>
  </si>
  <si>
    <t>https://movie.douban.com/subject/1291585/</t>
  </si>
  <si>
    <t>色，戒</t>
  </si>
  <si>
    <t>假戏真情，爱欲深海</t>
  </si>
  <si>
    <t>https://movie.douban.com/subject/1828115/</t>
  </si>
  <si>
    <t>王蕙玲</t>
  </si>
  <si>
    <t>纵横四海</t>
  </si>
  <si>
    <t>香港浪漫主义警匪动作片的巅峰之作。</t>
  </si>
  <si>
    <t>https://movie.douban.com/subject/1295409/</t>
  </si>
  <si>
    <t>海街日记</t>
  </si>
  <si>
    <t>是枝裕和的家庭习作。</t>
  </si>
  <si>
    <t>https://movie.douban.com/subject/25895901/</t>
  </si>
  <si>
    <t>茶馆</t>
  </si>
  <si>
    <t>https://movie.douban.com/subject/1461403/</t>
  </si>
  <si>
    <t>谢添</t>
  </si>
  <si>
    <t>老舍</t>
  </si>
  <si>
    <t>岁月神偷</t>
  </si>
  <si>
    <t>岁月流逝，来日可追。</t>
  </si>
  <si>
    <t>https://movie.douban.com/subject/3792799/</t>
  </si>
  <si>
    <t>罗启锐</t>
  </si>
  <si>
    <t>记忆碎片</t>
  </si>
  <si>
    <t>一个针管引发的血案。</t>
  </si>
  <si>
    <t>https://movie.douban.com/subject/1304447/</t>
  </si>
  <si>
    <t>爱在午夜降临前</t>
  </si>
  <si>
    <t>所谓爱情，就是话唠一路，都不会心生腻烦，彼此嫌弃。</t>
  </si>
  <si>
    <t>https://movie.douban.com/subject/10808442/</t>
  </si>
  <si>
    <t>绿里奇迹</t>
  </si>
  <si>
    <t>天使暂时离开。</t>
  </si>
  <si>
    <t>https://movie.douban.com/subject/1300374/</t>
  </si>
  <si>
    <t>忠犬八公物语</t>
  </si>
  <si>
    <t>养狗三日，便会对你终其一生。</t>
  </si>
  <si>
    <t>https://movie.douban.com/subject/1959195/</t>
  </si>
  <si>
    <t>神山征二郎</t>
  </si>
  <si>
    <t>新藤兼人</t>
  </si>
  <si>
    <t>荒蛮故事</t>
  </si>
  <si>
    <t>始于荒诞，止于更荒诞。</t>
  </si>
  <si>
    <t>https://movie.douban.com/subject/24750126/</t>
  </si>
  <si>
    <t>达米安·斯兹弗隆</t>
  </si>
  <si>
    <t>爆裂鼓手</t>
  </si>
  <si>
    <t>这个世界从不善待努力的人，努力了也不一定会成功，但是知道自己在努力，就是活下去的动力。</t>
  </si>
  <si>
    <t>https://movie.douban.com/subject/25773932/</t>
  </si>
  <si>
    <t>达米恩·查泽雷</t>
  </si>
  <si>
    <t>小偷家族</t>
  </si>
  <si>
    <t>我们组成了家。</t>
  </si>
  <si>
    <t>https://movie.douban.com/subject/27622447/</t>
  </si>
  <si>
    <t>疯狂的石头</t>
  </si>
  <si>
    <t>中国版《两杆大烟枪》。</t>
  </si>
  <si>
    <t>https://movie.douban.com/subject/1862151/</t>
  </si>
  <si>
    <t>宁浩</t>
  </si>
  <si>
    <t>张承</t>
  </si>
  <si>
    <t>贫民窟的百万富翁</t>
  </si>
  <si>
    <t>上帝之城+猜火车+阿甘正传+开心辞典=山寨富翁</t>
  </si>
  <si>
    <t>https://movie.douban.com/subject/2209573/</t>
  </si>
  <si>
    <t>丹尼·博伊尔</t>
  </si>
  <si>
    <t>西蒙·博福伊</t>
  </si>
  <si>
    <t>无敌破坏王</t>
  </si>
  <si>
    <t>迪士尼和皮克斯拿错剧本的产物。</t>
  </si>
  <si>
    <t>https://movie.douban.com/subject/6534248/</t>
  </si>
  <si>
    <t>瑞奇·摩尔</t>
  </si>
  <si>
    <t>菲尔·约翰斯顿</t>
  </si>
  <si>
    <t>东邪西毒</t>
  </si>
  <si>
    <t>电影诗。</t>
  </si>
  <si>
    <t>https://movie.douban.com/subject/1292328/</t>
  </si>
  <si>
    <t>雨中曲</t>
  </si>
  <si>
    <t>骨灰级歌舞片。</t>
  </si>
  <si>
    <t>https://movie.douban.com/subject/1293460/</t>
  </si>
  <si>
    <t>斯坦利·多南</t>
  </si>
  <si>
    <t>贝蒂·康登</t>
  </si>
  <si>
    <t>真爱至上</t>
  </si>
  <si>
    <t>爱，是个动词。</t>
  </si>
  <si>
    <t>https://movie.douban.com/subject/1292401/</t>
  </si>
  <si>
    <t>冰川时代</t>
  </si>
  <si>
    <t>松鼠才是角儿。</t>
  </si>
  <si>
    <t>https://movie.douban.com/subject/1291578/</t>
  </si>
  <si>
    <t>卡洛斯·沙尔丹哈</t>
  </si>
  <si>
    <t xml:space="preserve">迈克尔·伯格 </t>
  </si>
  <si>
    <t>恐怖游轮</t>
  </si>
  <si>
    <t>不要企图在重复中寻找已经失去的爱。</t>
  </si>
  <si>
    <t>https://movie.douban.com/subject/3011051/</t>
  </si>
  <si>
    <t>克里斯托弗·史密斯</t>
  </si>
  <si>
    <t>2001太空漫游</t>
  </si>
  <si>
    <t>现代科幻电影的开山之作，最伟大导演的最伟大影片。</t>
  </si>
  <si>
    <t>https://movie.douban.com/subject/1292226/</t>
  </si>
  <si>
    <t>斯坦利·库布里克</t>
  </si>
  <si>
    <t>亚瑟·克拉克</t>
  </si>
  <si>
    <t>你看起来好像很好吃</t>
  </si>
  <si>
    <t>感情不分食草或者食肉。</t>
  </si>
  <si>
    <t>https://movie.douban.com/subject/4848115/</t>
  </si>
  <si>
    <t>藤森雅也</t>
  </si>
  <si>
    <t>村上修</t>
  </si>
  <si>
    <t>黑天鹅</t>
  </si>
  <si>
    <t>黑暗之美。</t>
  </si>
  <si>
    <t>https://movie.douban.com/subject/1978709/</t>
  </si>
  <si>
    <t>达伦·阿伦诺夫斯基</t>
  </si>
  <si>
    <t>安德雷斯·海因斯</t>
  </si>
  <si>
    <t>无间道2</t>
  </si>
  <si>
    <t>https://movie.douban.com/subject/1307106/</t>
  </si>
  <si>
    <t>魔女宅急便</t>
  </si>
  <si>
    <t>宫崎骏的电影总让人感觉世界是美好的，阳光明媚的。</t>
  </si>
  <si>
    <t>https://movie.douban.com/subject/1307811/</t>
  </si>
  <si>
    <t>牯岭街少年杀人事件</t>
  </si>
  <si>
    <t>弱者送给弱者的一刀。</t>
  </si>
  <si>
    <t>https://movie.douban.com/subject/1292329/</t>
  </si>
  <si>
    <t>遗愿清单</t>
  </si>
  <si>
    <t>用剩余不多的时间，去燃烧整个生命。</t>
  </si>
  <si>
    <t>https://movie.douban.com/subject/1867345/</t>
  </si>
  <si>
    <t>贾斯汀·扎克汉姆</t>
  </si>
  <si>
    <t>背靠背，脸对脸</t>
  </si>
  <si>
    <t>https://movie.douban.com/subject/1307856/</t>
  </si>
  <si>
    <t>黄建新</t>
  </si>
  <si>
    <t>小丑</t>
  </si>
  <si>
    <t>https://movie.douban.com/subject/27119724/</t>
  </si>
  <si>
    <t>托德·菲利普斯</t>
  </si>
  <si>
    <t>雨人</t>
  </si>
  <si>
    <t>生活在自己的世界里，也可以让周围的人显得可笑和渺小。</t>
  </si>
  <si>
    <t>https://movie.douban.com/subject/1291870/</t>
  </si>
  <si>
    <t>巴瑞·莱文森</t>
  </si>
  <si>
    <t>罗纳德·巴斯</t>
  </si>
  <si>
    <t>大佛普拉斯</t>
  </si>
  <si>
    <t>人们可以登上月球，却永远无法探索人们内心的宇宙。</t>
  </si>
  <si>
    <t>https://movie.douban.com/subject/27059130/</t>
  </si>
  <si>
    <t>黄信尧</t>
  </si>
  <si>
    <t>可可西里</t>
  </si>
  <si>
    <t>坚硬的信仰。</t>
  </si>
  <si>
    <t>https://movie.douban.com/subject/1308857/</t>
  </si>
  <si>
    <t>陆川</t>
  </si>
  <si>
    <t>恋恋笔记本</t>
  </si>
  <si>
    <t xml:space="preserve">爱情没有那么多借口，如果不能圆满，只能说明爱的不够。 </t>
  </si>
  <si>
    <t>https://movie.douban.com/subject/1309163/</t>
  </si>
  <si>
    <t>尼克·卡萨维蒂</t>
  </si>
  <si>
    <t>扬·萨尔迪</t>
  </si>
  <si>
    <t>城市之光</t>
  </si>
  <si>
    <t>永远的小人物，伟大的卓别林。</t>
  </si>
  <si>
    <t>https://movie.douban.com/subject/1293908/</t>
  </si>
  <si>
    <t>东京教父</t>
  </si>
  <si>
    <t>https://movie.douban.com/subject/1310177/</t>
  </si>
  <si>
    <t>源代码</t>
  </si>
  <si>
    <t>邓肯·琼斯继《月球》之后再度奉献出一部精彩绝伦的科幻佳作。</t>
  </si>
  <si>
    <t>https://movie.douban.com/subject/3075287/</t>
  </si>
  <si>
    <t>邓肯·琼斯</t>
  </si>
  <si>
    <t>本·雷普利</t>
  </si>
  <si>
    <t>萤火虫之墓</t>
  </si>
  <si>
    <t xml:space="preserve">幸福是生生不息，却难以触及的远。 </t>
  </si>
  <si>
    <t>https://movie.douban.com/subject/1293318/</t>
  </si>
  <si>
    <t>高畑勋</t>
  </si>
  <si>
    <t>虎口脱险</t>
  </si>
  <si>
    <t>永远看不腻的喜剧。</t>
  </si>
  <si>
    <t>https://movie.douban.com/subject/1296909/</t>
  </si>
  <si>
    <t>热拉尔·乌里</t>
  </si>
  <si>
    <t>初恋这件小事</t>
  </si>
  <si>
    <t>黑小鸭速效美白记。</t>
  </si>
  <si>
    <t>https://movie.douban.com/subject/4739952/</t>
  </si>
  <si>
    <t>普特鹏·普罗萨卡·那·萨克那卡林</t>
  </si>
  <si>
    <t>人工智能</t>
  </si>
  <si>
    <t>对爱的执着，可以超越一切。</t>
  </si>
  <si>
    <t>https://movie.douban.com/subject/1302827/</t>
  </si>
  <si>
    <t>布莱恩·奥尔迪斯</t>
  </si>
  <si>
    <t>海边的曼彻斯特</t>
  </si>
  <si>
    <t>我们都有权利不与自己的过去和解。</t>
  </si>
  <si>
    <t>https://movie.douban.com/subject/25980443/</t>
  </si>
  <si>
    <t>肯尼思·洛纳根</t>
  </si>
  <si>
    <t>心灵奇旅</t>
  </si>
  <si>
    <t>https://movie.douban.com/subject/24733428/</t>
  </si>
  <si>
    <t>罗生门</t>
  </si>
  <si>
    <t>人生的N种可能性。</t>
  </si>
  <si>
    <t>https://movie.douban.com/subject/1291879/</t>
  </si>
  <si>
    <t>青蛇</t>
  </si>
  <si>
    <t>人生如此，浮生如斯。谁人言，花彼岸，此生情长意短。谁都是不懂爱的罢了。</t>
  </si>
  <si>
    <t>https://movie.douban.com/subject/1303394/</t>
  </si>
  <si>
    <t>徐克</t>
  </si>
  <si>
    <t>李碧华</t>
  </si>
  <si>
    <t>波西米亚狂想曲</t>
  </si>
  <si>
    <t>https://movie.douban.com/subject/5300054/</t>
  </si>
  <si>
    <t>布莱恩·辛格</t>
  </si>
  <si>
    <t>安东尼·麦卡滕</t>
  </si>
  <si>
    <t>终结者2：审判日</t>
  </si>
  <si>
    <t>少见的超越首部的续集，动作片中的经典。</t>
  </si>
  <si>
    <t>https://movie.douban.com/subject/1291844/</t>
  </si>
  <si>
    <t>疯狂的麦克斯4：狂暴之路</t>
  </si>
  <si>
    <t>“多么美好的一天！”轰轰轰砰咚，啪哒哒哒轰隆隆，磅~</t>
  </si>
  <si>
    <t>https://movie.douban.com/subject/3592854/</t>
  </si>
  <si>
    <t>乔治·米勒</t>
  </si>
  <si>
    <t>新龙门客栈</t>
  </si>
  <si>
    <t>嬉笑怒骂，调风动月。</t>
  </si>
  <si>
    <t>https://movie.douban.com/subject/1292287/</t>
  </si>
  <si>
    <t>李惠民</t>
  </si>
  <si>
    <t>奇迹男孩</t>
  </si>
  <si>
    <t>世界不完美，爱会有奇迹。</t>
  </si>
  <si>
    <t>https://movie.douban.com/subject/26787574/</t>
  </si>
  <si>
    <t>斯蒂芬·卓博斯基</t>
  </si>
  <si>
    <t>二十二</t>
  </si>
  <si>
    <t>有一些东西不应该被遗忘。</t>
  </si>
  <si>
    <t>https://movie.douban.com/subject/26430107/</t>
  </si>
  <si>
    <t>郭柯</t>
  </si>
  <si>
    <t>无耻混蛋</t>
  </si>
  <si>
    <t>昆汀同学越来越变态了，比北野武还杜琪峰。</t>
  </si>
  <si>
    <t>https://movie.douban.com/subject/1438652/</t>
  </si>
  <si>
    <t>房间</t>
  </si>
  <si>
    <t>被偷走的岁月，被伤害的生命，被禁锢的灵魂，终将被希望和善意救赎。</t>
  </si>
  <si>
    <t>https://movie.douban.com/subject/25724855/</t>
  </si>
  <si>
    <t>伦尼·阿伯拉罕森</t>
  </si>
  <si>
    <t>艾玛·多诺霍</t>
  </si>
  <si>
    <t>千钧一发</t>
  </si>
  <si>
    <t>一部能引人思考的科幻励志片。</t>
  </si>
  <si>
    <t>https://movie.douban.com/subject/1300117/</t>
  </si>
  <si>
    <t>血钻</t>
  </si>
  <si>
    <t>每个美丽事物背后都是滴血的现实。</t>
  </si>
  <si>
    <t>https://movie.douban.com/subject/1428175/</t>
  </si>
  <si>
    <t>爱德华·兹威克</t>
  </si>
  <si>
    <t>查尔斯·里维特</t>
  </si>
  <si>
    <t>崖上的波妞</t>
  </si>
  <si>
    <t>https://movie.douban.com/subject/1959877/</t>
  </si>
  <si>
    <t>彗星来的那一夜</t>
  </si>
  <si>
    <t>小成本大魅力。</t>
  </si>
  <si>
    <t>https://movie.douban.com/subject/25807345/</t>
  </si>
  <si>
    <t>詹姆斯·沃德·布柯特</t>
  </si>
  <si>
    <t>黑客帝国2：重装上阵</t>
  </si>
  <si>
    <t>一个精彩的世界观正在缓缓建立。</t>
  </si>
  <si>
    <t>https://movie.douban.com/subject/1304141/</t>
  </si>
  <si>
    <t>步履不停</t>
  </si>
  <si>
    <t>日本的家庭电影已经是世界巅峰了，步履不停是巅峰中的佳作。</t>
  </si>
  <si>
    <t>https://movie.douban.com/subject/2222996/</t>
  </si>
  <si>
    <t>魂断蓝桥</t>
  </si>
  <si>
    <t>中国式内在的美国电影。</t>
  </si>
  <si>
    <t>https://movie.douban.com/subject/1293964/</t>
  </si>
  <si>
    <t>茂文·勒鲁瓦</t>
  </si>
  <si>
    <t>塞缪尔·N·贝尔曼</t>
  </si>
  <si>
    <t>战争之王</t>
  </si>
  <si>
    <t>做一颗让别人需要你的棋子。</t>
  </si>
  <si>
    <t>https://movie.douban.com/subject/1419936/</t>
  </si>
  <si>
    <t>爱乐之城</t>
  </si>
  <si>
    <t>https://movie.douban.com/subject/25934014/</t>
  </si>
  <si>
    <t>末路狂花</t>
  </si>
  <si>
    <t>没有了退路，只好飞向自由。</t>
  </si>
  <si>
    <t>https://movie.douban.com/subject/1291992/</t>
  </si>
  <si>
    <t>雷德利·斯科特</t>
  </si>
  <si>
    <t>卡莉·克里</t>
  </si>
  <si>
    <t>谍影重重2</t>
  </si>
  <si>
    <t>谁说王家卫镜头很晃？</t>
  </si>
  <si>
    <t>https://movie.douban.com/subject/1308767/</t>
  </si>
  <si>
    <t>罗伯特·鲁德鲁姆</t>
  </si>
  <si>
    <t>火星救援</t>
  </si>
  <si>
    <t>https://movie.douban.com/subject/25864085/</t>
  </si>
  <si>
    <t>德鲁·戈达德</t>
  </si>
  <si>
    <t>燃情岁月</t>
  </si>
  <si>
    <t>传奇，不是每个人都可以拥有。</t>
  </si>
  <si>
    <t>https://movie.douban.com/subject/1295865/</t>
  </si>
  <si>
    <t>威廉·D·威特利夫</t>
  </si>
  <si>
    <t>千年女优</t>
  </si>
  <si>
    <t>爱情是一场没有尽头的虚幻追逐。</t>
  </si>
  <si>
    <t>https://movie.douban.com/subject/1307394/</t>
  </si>
  <si>
    <t>阿飞正传</t>
  </si>
  <si>
    <t>王家卫是一种风格，张国荣是一个代表。</t>
  </si>
  <si>
    <t>https://movie.douban.com/subject/1305690/</t>
  </si>
  <si>
    <t>再次出发之纽约遇见你</t>
  </si>
  <si>
    <t>爱我就给我看你的播放列表。</t>
  </si>
  <si>
    <t>https://movie.douban.com/subject/6874403/</t>
  </si>
  <si>
    <t>约翰·卡尼</t>
  </si>
  <si>
    <t>谍影重重</t>
  </si>
  <si>
    <t>哗啦啦啦啦，天在下雨，哗啦啦啦啦，云在哭泣……找自己。</t>
  </si>
  <si>
    <t>https://movie.douban.com/subject/1304102/</t>
  </si>
  <si>
    <t>道格·里曼</t>
  </si>
  <si>
    <t>花束般的恋爱</t>
  </si>
  <si>
    <t>https://movie.douban.com/subject/34874432/</t>
  </si>
  <si>
    <t>土井裕泰</t>
  </si>
  <si>
    <t>坂元裕二</t>
  </si>
  <si>
    <t>朗读者</t>
  </si>
  <si>
    <t xml:space="preserve">当爱情跨越年龄的界限，它似乎能变得更久远一点，成为一种责任，一种水到渠成的相濡以沫。 </t>
  </si>
  <si>
    <t>https://movie.douban.com/subject/2213597/</t>
  </si>
  <si>
    <t>史蒂芬·戴德利</t>
  </si>
  <si>
    <t>戴维·黑尔</t>
  </si>
  <si>
    <t>海洋</t>
  </si>
  <si>
    <t>大海啊，不全是水。</t>
  </si>
  <si>
    <t>https://movie.douban.com/subject/3443389/</t>
  </si>
  <si>
    <t>雅克·贝汉</t>
  </si>
  <si>
    <t>克里斯托夫·谢松</t>
  </si>
  <si>
    <t>香水</t>
  </si>
  <si>
    <t>一个单凭体香达到高潮的男人。</t>
  </si>
  <si>
    <t>https://movie.douban.com/subject/1760622/</t>
  </si>
  <si>
    <t>汤姆·提克威</t>
  </si>
  <si>
    <t>安德鲁·伯金</t>
  </si>
  <si>
    <t>穿越时空的少女</t>
  </si>
  <si>
    <t xml:space="preserve">爱上未来的你。 </t>
  </si>
  <si>
    <t>https://movie.douban.com/subject/1937946/</t>
  </si>
  <si>
    <t>细田守</t>
  </si>
  <si>
    <t>奥寺佐渡子</t>
  </si>
  <si>
    <t>地球上的星星</t>
  </si>
  <si>
    <t>天使保护事件始末。</t>
  </si>
  <si>
    <t>https://movie.douban.com/subject/2363506/</t>
  </si>
  <si>
    <t>阿米尔·汗</t>
  </si>
  <si>
    <t>阿莫尔·古普特</t>
  </si>
  <si>
    <t>我爱你</t>
  </si>
  <si>
    <t xml:space="preserve">你要相信，这世上真的有爱存在，不管在什么年纪 </t>
  </si>
  <si>
    <t>https://movie.douban.com/subject/5908478/</t>
  </si>
  <si>
    <t>秋昌旼</t>
  </si>
  <si>
    <t>姜草</t>
  </si>
  <si>
    <t>弱点</t>
  </si>
  <si>
    <t>拍掉身上的悲伤，从今天开始重新踏上追梦之旅。</t>
  </si>
  <si>
    <t>https://movie.douban.com/subject/3552028/</t>
  </si>
  <si>
    <t>哈利·波特与死亡圣器(上)</t>
  </si>
  <si>
    <t>最忠于原著的一部。</t>
  </si>
  <si>
    <t>https://movie.douban.com/subject/2051007/</t>
  </si>
  <si>
    <t>完美陌生人</t>
  </si>
  <si>
    <t>来啊，互相伤害啊！</t>
  </si>
  <si>
    <t>https://movie.douban.com/subject/26614893/</t>
  </si>
  <si>
    <t>保罗·杰诺维塞</t>
  </si>
  <si>
    <t>adjusted score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</si>
</sst>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1"/>
  <sheetViews>
    <sheetView tabSelected="1" topLeftCell="C171" workbookViewId="0">
      <selection activeCell="J252" sqref="J252"/>
    </sheetView>
  </sheetViews>
  <sheetFormatPr defaultRowHeight="14" x14ac:dyDescent="0.3"/>
  <cols>
    <col min="4" max="4" width="12.75" style="2" bestFit="1" customWidth="1"/>
    <col min="14" max="14" width="10.08203125" bestFit="1" customWidth="1"/>
  </cols>
  <sheetData>
    <row r="1" spans="1:19" s="3" customFormat="1" x14ac:dyDescent="0.3">
      <c r="A1" s="3" t="s">
        <v>0</v>
      </c>
      <c r="B1" s="3" t="s">
        <v>1</v>
      </c>
      <c r="C1" s="3" t="s">
        <v>2</v>
      </c>
      <c r="D1" s="4" t="s">
        <v>1056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3">
      <c r="A2">
        <v>1</v>
      </c>
      <c r="B2" t="s">
        <v>18</v>
      </c>
      <c r="C2">
        <v>9.6999999999999993</v>
      </c>
      <c r="D2" s="2">
        <f t="shared" ref="D2:D65" si="0">(N2/(N2+25000))*C2+(25000/(N2+25000))*7</f>
        <v>9.6754099704373182</v>
      </c>
      <c r="E2" t="s">
        <v>19</v>
      </c>
      <c r="F2" t="s">
        <v>20</v>
      </c>
      <c r="G2">
        <v>1994</v>
      </c>
      <c r="H2" t="s">
        <v>21</v>
      </c>
      <c r="I2" t="s">
        <v>22</v>
      </c>
      <c r="J2">
        <v>142</v>
      </c>
      <c r="K2" t="s">
        <v>23</v>
      </c>
      <c r="L2" t="s">
        <v>23</v>
      </c>
      <c r="M2">
        <v>535402</v>
      </c>
      <c r="N2">
        <v>2720015</v>
      </c>
      <c r="O2" s="1">
        <v>0.85799999999999998</v>
      </c>
      <c r="P2" s="1">
        <v>0.128</v>
      </c>
      <c r="Q2" s="1">
        <v>1.2E-2</v>
      </c>
      <c r="R2" s="1">
        <v>1E-3</v>
      </c>
      <c r="S2" s="1">
        <v>1E-3</v>
      </c>
    </row>
    <row r="3" spans="1:19" x14ac:dyDescent="0.3">
      <c r="A3">
        <v>2</v>
      </c>
      <c r="B3" t="s">
        <v>24</v>
      </c>
      <c r="C3">
        <v>9.6</v>
      </c>
      <c r="D3" s="2">
        <f t="shared" si="0"/>
        <v>9.5681493238101432</v>
      </c>
      <c r="E3" t="s">
        <v>25</v>
      </c>
      <c r="F3" t="s">
        <v>26</v>
      </c>
      <c r="G3">
        <v>1993</v>
      </c>
      <c r="H3" t="s">
        <v>21</v>
      </c>
      <c r="I3" t="s">
        <v>27</v>
      </c>
      <c r="J3">
        <v>171</v>
      </c>
      <c r="K3" t="s">
        <v>28</v>
      </c>
      <c r="L3" t="s">
        <v>29</v>
      </c>
      <c r="M3">
        <v>431695</v>
      </c>
      <c r="N3">
        <v>2015773</v>
      </c>
      <c r="O3" s="1">
        <v>0.82399999999999995</v>
      </c>
      <c r="P3" s="1">
        <v>0.154</v>
      </c>
      <c r="Q3" s="1">
        <v>1.9E-2</v>
      </c>
      <c r="R3" s="1">
        <v>1E-3</v>
      </c>
      <c r="S3" s="1">
        <v>1E-3</v>
      </c>
    </row>
    <row r="4" spans="1:19" x14ac:dyDescent="0.3">
      <c r="A4">
        <v>3</v>
      </c>
      <c r="B4" t="s">
        <v>30</v>
      </c>
      <c r="C4">
        <v>9.5</v>
      </c>
      <c r="D4" s="2">
        <f t="shared" si="0"/>
        <v>9.4697491112288876</v>
      </c>
      <c r="E4" t="s">
        <v>31</v>
      </c>
      <c r="F4" t="s">
        <v>32</v>
      </c>
      <c r="G4">
        <v>1994</v>
      </c>
      <c r="H4" t="s">
        <v>21</v>
      </c>
      <c r="I4" t="s">
        <v>27</v>
      </c>
      <c r="J4">
        <v>142</v>
      </c>
      <c r="K4" t="s">
        <v>33</v>
      </c>
      <c r="L4" t="s">
        <v>34</v>
      </c>
      <c r="M4">
        <v>343153</v>
      </c>
      <c r="N4">
        <v>2041055</v>
      </c>
      <c r="O4" s="1">
        <v>0.77200000000000002</v>
      </c>
      <c r="P4" s="1">
        <v>0.19900000000000001</v>
      </c>
      <c r="Q4" s="1">
        <v>2.5999999999999999E-2</v>
      </c>
      <c r="R4" s="1">
        <v>2E-3</v>
      </c>
      <c r="S4" s="1">
        <v>1E-3</v>
      </c>
    </row>
    <row r="5" spans="1:19" x14ac:dyDescent="0.3">
      <c r="A5">
        <v>4</v>
      </c>
      <c r="B5" t="s">
        <v>35</v>
      </c>
      <c r="C5">
        <v>9.4</v>
      </c>
      <c r="D5" s="2">
        <f t="shared" si="0"/>
        <v>9.370373340351561</v>
      </c>
      <c r="E5" t="s">
        <v>36</v>
      </c>
      <c r="F5" t="s">
        <v>37</v>
      </c>
      <c r="G5">
        <v>1997</v>
      </c>
      <c r="H5" t="s">
        <v>21</v>
      </c>
      <c r="I5" t="s">
        <v>27</v>
      </c>
      <c r="J5">
        <v>194</v>
      </c>
      <c r="K5" t="s">
        <v>38</v>
      </c>
      <c r="L5" t="s">
        <v>38</v>
      </c>
      <c r="M5">
        <v>341855</v>
      </c>
      <c r="N5">
        <v>2000203</v>
      </c>
      <c r="O5" s="1">
        <v>0.76</v>
      </c>
      <c r="P5" s="1">
        <v>0.20699999999999999</v>
      </c>
      <c r="Q5" s="1">
        <v>0.03</v>
      </c>
      <c r="R5" s="1">
        <v>2E-3</v>
      </c>
      <c r="S5" s="1">
        <v>1E-3</v>
      </c>
    </row>
    <row r="6" spans="1:19" x14ac:dyDescent="0.3">
      <c r="A6">
        <v>5</v>
      </c>
      <c r="B6" t="s">
        <v>39</v>
      </c>
      <c r="C6">
        <v>9.4</v>
      </c>
      <c r="D6" s="2">
        <f t="shared" si="0"/>
        <v>9.3728206707858455</v>
      </c>
      <c r="E6" t="s">
        <v>40</v>
      </c>
      <c r="F6" t="s">
        <v>41</v>
      </c>
      <c r="G6">
        <v>1994</v>
      </c>
      <c r="H6" t="s">
        <v>21</v>
      </c>
      <c r="I6" t="s">
        <v>42</v>
      </c>
      <c r="J6">
        <v>110</v>
      </c>
      <c r="K6" t="s">
        <v>43</v>
      </c>
      <c r="L6" t="s">
        <v>43</v>
      </c>
      <c r="M6">
        <v>374931</v>
      </c>
      <c r="N6">
        <v>2182560</v>
      </c>
      <c r="O6" s="1">
        <v>0.73799999999999999</v>
      </c>
      <c r="P6" s="1">
        <v>0.22700000000000001</v>
      </c>
      <c r="Q6" s="1">
        <v>3.2000000000000001E-2</v>
      </c>
      <c r="R6" s="1">
        <v>2E-3</v>
      </c>
      <c r="S6" s="1">
        <v>1E-3</v>
      </c>
    </row>
    <row r="7" spans="1:19" x14ac:dyDescent="0.3">
      <c r="A7">
        <v>6</v>
      </c>
      <c r="B7" t="s">
        <v>44</v>
      </c>
      <c r="C7">
        <v>9.6</v>
      </c>
      <c r="D7" s="2">
        <f t="shared" si="0"/>
        <v>9.549134782652926</v>
      </c>
      <c r="E7" t="s">
        <v>45</v>
      </c>
      <c r="F7" t="s">
        <v>46</v>
      </c>
      <c r="G7">
        <v>1997</v>
      </c>
      <c r="H7" t="s">
        <v>21</v>
      </c>
      <c r="I7" t="s">
        <v>47</v>
      </c>
      <c r="J7">
        <v>116</v>
      </c>
      <c r="K7" t="s">
        <v>48</v>
      </c>
      <c r="L7" t="s">
        <v>49</v>
      </c>
      <c r="M7">
        <v>275386</v>
      </c>
      <c r="N7">
        <v>1252887</v>
      </c>
      <c r="O7" s="1">
        <v>0.80600000000000005</v>
      </c>
      <c r="P7" s="1">
        <v>0.16900000000000001</v>
      </c>
      <c r="Q7" s="1">
        <v>2.1999999999999999E-2</v>
      </c>
      <c r="R7" s="1">
        <v>2E-3</v>
      </c>
      <c r="S7" s="1">
        <v>1E-3</v>
      </c>
    </row>
    <row r="8" spans="1:19" x14ac:dyDescent="0.3">
      <c r="A8">
        <v>7</v>
      </c>
      <c r="B8" t="s">
        <v>50</v>
      </c>
      <c r="C8">
        <v>9.4</v>
      </c>
      <c r="D8" s="2">
        <f t="shared" si="0"/>
        <v>9.3719832104719281</v>
      </c>
      <c r="E8" t="s">
        <v>51</v>
      </c>
      <c r="F8" t="s">
        <v>52</v>
      </c>
      <c r="G8">
        <v>2001</v>
      </c>
      <c r="H8" t="s">
        <v>21</v>
      </c>
      <c r="I8" t="s">
        <v>53</v>
      </c>
      <c r="J8">
        <v>125</v>
      </c>
      <c r="K8" t="s">
        <v>54</v>
      </c>
      <c r="L8" t="s">
        <v>54</v>
      </c>
      <c r="M8">
        <v>395160</v>
      </c>
      <c r="N8">
        <v>2116573</v>
      </c>
      <c r="O8" s="1">
        <v>0.73199999999999998</v>
      </c>
      <c r="P8" s="1">
        <v>0.23200000000000001</v>
      </c>
      <c r="Q8" s="1">
        <v>3.3000000000000002E-2</v>
      </c>
      <c r="R8" s="1">
        <v>2E-3</v>
      </c>
      <c r="S8" s="1">
        <v>1E-3</v>
      </c>
    </row>
    <row r="9" spans="1:19" x14ac:dyDescent="0.3">
      <c r="A9">
        <v>8</v>
      </c>
      <c r="B9" t="s">
        <v>55</v>
      </c>
      <c r="C9">
        <v>9.6</v>
      </c>
      <c r="D9" s="2">
        <f t="shared" si="0"/>
        <v>9.5392839995591086</v>
      </c>
      <c r="E9" t="s">
        <v>56</v>
      </c>
      <c r="F9" t="s">
        <v>57</v>
      </c>
      <c r="G9">
        <v>1993</v>
      </c>
      <c r="H9" t="s">
        <v>21</v>
      </c>
      <c r="I9" t="s">
        <v>58</v>
      </c>
      <c r="J9">
        <v>195</v>
      </c>
      <c r="K9" t="s">
        <v>59</v>
      </c>
      <c r="L9" t="s">
        <v>60</v>
      </c>
      <c r="M9">
        <v>174559</v>
      </c>
      <c r="N9">
        <v>1045558</v>
      </c>
      <c r="O9" s="1">
        <v>0.80300000000000005</v>
      </c>
      <c r="P9" s="1">
        <v>0.17499999999999999</v>
      </c>
      <c r="Q9" s="1">
        <v>0.02</v>
      </c>
      <c r="R9" s="1">
        <v>1E-3</v>
      </c>
      <c r="S9" s="1">
        <v>1E-3</v>
      </c>
    </row>
    <row r="10" spans="1:19" x14ac:dyDescent="0.3">
      <c r="A10">
        <v>9</v>
      </c>
      <c r="B10" t="s">
        <v>61</v>
      </c>
      <c r="C10">
        <v>9.4</v>
      </c>
      <c r="D10" s="2">
        <f t="shared" si="0"/>
        <v>9.369651247308445</v>
      </c>
      <c r="E10" t="s">
        <v>62</v>
      </c>
      <c r="F10" t="s">
        <v>63</v>
      </c>
      <c r="G10">
        <v>2010</v>
      </c>
      <c r="H10" t="s">
        <v>21</v>
      </c>
      <c r="I10" t="s">
        <v>64</v>
      </c>
      <c r="J10">
        <v>148</v>
      </c>
      <c r="K10" t="s">
        <v>65</v>
      </c>
      <c r="L10" t="s">
        <v>65</v>
      </c>
      <c r="M10">
        <v>386015</v>
      </c>
      <c r="N10">
        <v>1952017</v>
      </c>
      <c r="O10" s="1">
        <v>0.72199999999999998</v>
      </c>
      <c r="P10" s="1">
        <v>0.23899999999999999</v>
      </c>
      <c r="Q10" s="1">
        <v>3.5000000000000003E-2</v>
      </c>
      <c r="R10" s="1">
        <v>2E-3</v>
      </c>
      <c r="S10" s="1">
        <v>1E-3</v>
      </c>
    </row>
    <row r="11" spans="1:19" x14ac:dyDescent="0.3">
      <c r="A11">
        <v>10</v>
      </c>
      <c r="B11" t="s">
        <v>66</v>
      </c>
      <c r="C11">
        <v>9.4</v>
      </c>
      <c r="D11" s="2">
        <f t="shared" si="0"/>
        <v>9.3646259995365995</v>
      </c>
      <c r="E11" t="s">
        <v>67</v>
      </c>
      <c r="F11" t="s">
        <v>68</v>
      </c>
      <c r="G11">
        <v>2014</v>
      </c>
      <c r="H11" t="s">
        <v>21</v>
      </c>
      <c r="I11" t="s">
        <v>64</v>
      </c>
      <c r="J11">
        <v>169</v>
      </c>
      <c r="K11" t="s">
        <v>65</v>
      </c>
      <c r="L11" t="s">
        <v>69</v>
      </c>
      <c r="M11">
        <v>412938</v>
      </c>
      <c r="N11">
        <v>1671161</v>
      </c>
      <c r="O11" s="1">
        <v>0.74199999999999999</v>
      </c>
      <c r="P11" s="1">
        <v>0.214</v>
      </c>
      <c r="Q11" s="1">
        <v>3.9E-2</v>
      </c>
      <c r="R11" s="1">
        <v>4.0000000000000001E-3</v>
      </c>
      <c r="S11" s="1">
        <v>2E-3</v>
      </c>
    </row>
    <row r="12" spans="1:19" x14ac:dyDescent="0.3">
      <c r="A12">
        <v>11</v>
      </c>
      <c r="B12" t="s">
        <v>70</v>
      </c>
      <c r="C12">
        <v>9.4</v>
      </c>
      <c r="D12" s="2">
        <f t="shared" si="0"/>
        <v>9.3557477741130395</v>
      </c>
      <c r="E12" t="s">
        <v>71</v>
      </c>
      <c r="F12" t="s">
        <v>72</v>
      </c>
      <c r="G12">
        <v>2009</v>
      </c>
      <c r="H12" t="s">
        <v>21</v>
      </c>
      <c r="J12">
        <v>93</v>
      </c>
      <c r="K12" t="s">
        <v>73</v>
      </c>
      <c r="L12" t="s">
        <v>74</v>
      </c>
      <c r="M12">
        <v>293950</v>
      </c>
      <c r="N12">
        <v>1330864</v>
      </c>
      <c r="O12" s="1">
        <v>0.747</v>
      </c>
      <c r="P12" s="1">
        <v>0.21299999999999999</v>
      </c>
      <c r="Q12" s="1">
        <v>3.6999999999999998E-2</v>
      </c>
      <c r="R12" s="1">
        <v>2E-3</v>
      </c>
      <c r="S12" s="1">
        <v>1E-3</v>
      </c>
    </row>
    <row r="13" spans="1:19" x14ac:dyDescent="0.3">
      <c r="A13">
        <v>12</v>
      </c>
      <c r="B13" t="s">
        <v>75</v>
      </c>
      <c r="C13">
        <v>9.3000000000000007</v>
      </c>
      <c r="D13" s="2">
        <f t="shared" si="0"/>
        <v>9.2641228185113782</v>
      </c>
      <c r="E13" t="s">
        <v>76</v>
      </c>
      <c r="F13" t="s">
        <v>77</v>
      </c>
      <c r="G13">
        <v>1998</v>
      </c>
      <c r="H13" t="s">
        <v>21</v>
      </c>
      <c r="I13" t="s">
        <v>64</v>
      </c>
      <c r="J13">
        <v>103</v>
      </c>
      <c r="K13" t="s">
        <v>78</v>
      </c>
      <c r="L13" t="s">
        <v>79</v>
      </c>
      <c r="M13">
        <v>315640</v>
      </c>
      <c r="N13">
        <v>1577690</v>
      </c>
      <c r="O13" s="1">
        <v>0.71499999999999997</v>
      </c>
      <c r="P13" s="1">
        <v>0.249</v>
      </c>
      <c r="Q13" s="1">
        <v>3.4000000000000002E-2</v>
      </c>
      <c r="R13" s="1">
        <v>2E-3</v>
      </c>
      <c r="S13" s="1">
        <v>1E-3</v>
      </c>
    </row>
    <row r="14" spans="1:19" x14ac:dyDescent="0.3">
      <c r="A14">
        <v>13</v>
      </c>
      <c r="B14" t="s">
        <v>80</v>
      </c>
      <c r="C14">
        <v>9.3000000000000007</v>
      </c>
      <c r="D14" s="2">
        <f t="shared" si="0"/>
        <v>9.2644010680917805</v>
      </c>
      <c r="E14" t="s">
        <v>81</v>
      </c>
      <c r="F14" t="s">
        <v>82</v>
      </c>
      <c r="G14">
        <v>1998</v>
      </c>
      <c r="H14" t="s">
        <v>21</v>
      </c>
      <c r="I14" t="s">
        <v>83</v>
      </c>
      <c r="J14">
        <v>165</v>
      </c>
      <c r="K14" t="s">
        <v>84</v>
      </c>
      <c r="L14" t="s">
        <v>85</v>
      </c>
      <c r="M14">
        <v>321698</v>
      </c>
      <c r="N14">
        <v>1590217</v>
      </c>
      <c r="O14" s="1">
        <v>0.70799999999999996</v>
      </c>
      <c r="P14" s="1">
        <v>0.24299999999999999</v>
      </c>
      <c r="Q14" s="1">
        <v>4.3999999999999997E-2</v>
      </c>
      <c r="R14" s="1">
        <v>4.0000000000000001E-3</v>
      </c>
      <c r="S14" s="1">
        <v>2E-3</v>
      </c>
    </row>
    <row r="15" spans="1:19" x14ac:dyDescent="0.3">
      <c r="A15">
        <v>14</v>
      </c>
      <c r="B15" t="s">
        <v>86</v>
      </c>
      <c r="C15">
        <v>9.1999999999999993</v>
      </c>
      <c r="D15" s="2">
        <f t="shared" si="0"/>
        <v>9.1693045242340787</v>
      </c>
      <c r="E15" t="s">
        <v>87</v>
      </c>
      <c r="F15" t="s">
        <v>88</v>
      </c>
      <c r="G15">
        <v>2009</v>
      </c>
      <c r="H15" t="s">
        <v>21</v>
      </c>
      <c r="I15" t="s">
        <v>47</v>
      </c>
      <c r="J15">
        <v>171</v>
      </c>
      <c r="K15" t="s">
        <v>89</v>
      </c>
      <c r="L15" t="s">
        <v>90</v>
      </c>
      <c r="M15">
        <v>351477</v>
      </c>
      <c r="N15">
        <v>1766795</v>
      </c>
      <c r="O15" s="1">
        <v>0.68799999999999994</v>
      </c>
      <c r="P15" s="1">
        <v>0.25600000000000001</v>
      </c>
      <c r="Q15" s="1">
        <v>4.9000000000000002E-2</v>
      </c>
      <c r="R15" s="1">
        <v>5.0000000000000001E-3</v>
      </c>
      <c r="S15" s="1">
        <v>2E-3</v>
      </c>
    </row>
    <row r="16" spans="1:19" x14ac:dyDescent="0.3">
      <c r="A16">
        <v>15</v>
      </c>
      <c r="B16" t="s">
        <v>91</v>
      </c>
      <c r="C16">
        <v>9.3000000000000007</v>
      </c>
      <c r="D16" s="2">
        <f t="shared" si="0"/>
        <v>9.2548684395390151</v>
      </c>
      <c r="E16" t="s">
        <v>92</v>
      </c>
      <c r="F16" t="s">
        <v>93</v>
      </c>
      <c r="G16">
        <v>2008</v>
      </c>
      <c r="H16" t="s">
        <v>64</v>
      </c>
      <c r="I16" t="s">
        <v>53</v>
      </c>
      <c r="J16">
        <v>98</v>
      </c>
      <c r="K16" t="s">
        <v>94</v>
      </c>
      <c r="L16" t="s">
        <v>94</v>
      </c>
      <c r="M16">
        <v>225933</v>
      </c>
      <c r="N16">
        <v>1249053</v>
      </c>
      <c r="O16" s="1">
        <v>0.71799999999999997</v>
      </c>
      <c r="P16" s="1">
        <v>0.24</v>
      </c>
      <c r="Q16" s="1">
        <v>3.9E-2</v>
      </c>
      <c r="R16" s="1">
        <v>2E-3</v>
      </c>
      <c r="S16" s="1">
        <v>1E-3</v>
      </c>
    </row>
    <row r="17" spans="1:19" x14ac:dyDescent="0.3">
      <c r="A17">
        <v>16</v>
      </c>
      <c r="B17" t="s">
        <v>95</v>
      </c>
      <c r="C17">
        <v>9.3000000000000007</v>
      </c>
      <c r="D17" s="2">
        <f t="shared" si="0"/>
        <v>9.2542517617049853</v>
      </c>
      <c r="E17" t="s">
        <v>96</v>
      </c>
      <c r="F17" t="s">
        <v>97</v>
      </c>
      <c r="G17">
        <v>2004</v>
      </c>
      <c r="H17" t="s">
        <v>21</v>
      </c>
      <c r="I17" t="s">
        <v>47</v>
      </c>
      <c r="J17">
        <v>97</v>
      </c>
      <c r="K17" t="s">
        <v>98</v>
      </c>
      <c r="L17" t="s">
        <v>99</v>
      </c>
      <c r="M17">
        <v>213975</v>
      </c>
      <c r="N17">
        <v>1231879</v>
      </c>
      <c r="O17" s="1">
        <v>0.70699999999999996</v>
      </c>
      <c r="P17" s="1">
        <v>0.255</v>
      </c>
      <c r="Q17" s="1">
        <v>3.5000000000000003E-2</v>
      </c>
      <c r="R17" s="1">
        <v>2E-3</v>
      </c>
      <c r="S17" s="1">
        <v>1E-3</v>
      </c>
    </row>
    <row r="18" spans="1:19" x14ac:dyDescent="0.3">
      <c r="A18">
        <v>17</v>
      </c>
      <c r="B18" t="s">
        <v>100</v>
      </c>
      <c r="C18">
        <v>9.3000000000000007</v>
      </c>
      <c r="D18" s="2">
        <f t="shared" si="0"/>
        <v>9.2556002727301525</v>
      </c>
      <c r="E18" t="s">
        <v>101</v>
      </c>
      <c r="F18" t="s">
        <v>102</v>
      </c>
      <c r="G18">
        <v>2002</v>
      </c>
      <c r="H18" t="s">
        <v>21</v>
      </c>
      <c r="I18" t="s">
        <v>103</v>
      </c>
      <c r="J18">
        <v>101</v>
      </c>
      <c r="K18" t="s">
        <v>104</v>
      </c>
      <c r="L18" t="s">
        <v>105</v>
      </c>
      <c r="M18">
        <v>206167</v>
      </c>
      <c r="N18">
        <v>1270053</v>
      </c>
      <c r="O18" s="1">
        <v>0.68700000000000006</v>
      </c>
      <c r="P18" s="1">
        <v>0.27200000000000002</v>
      </c>
      <c r="Q18" s="1">
        <v>0.04</v>
      </c>
      <c r="R18" s="1">
        <v>2E-3</v>
      </c>
      <c r="S18" s="1">
        <v>1E-3</v>
      </c>
    </row>
    <row r="19" spans="1:19" x14ac:dyDescent="0.3">
      <c r="A19">
        <v>18</v>
      </c>
      <c r="B19" t="s">
        <v>106</v>
      </c>
      <c r="C19">
        <v>9.1999999999999993</v>
      </c>
      <c r="D19" s="2">
        <f t="shared" si="0"/>
        <v>9.1698544077514725</v>
      </c>
      <c r="E19" t="s">
        <v>107</v>
      </c>
      <c r="F19" t="s">
        <v>108</v>
      </c>
      <c r="G19">
        <v>2016</v>
      </c>
      <c r="H19" t="s">
        <v>47</v>
      </c>
      <c r="I19" t="s">
        <v>53</v>
      </c>
      <c r="J19">
        <v>109</v>
      </c>
      <c r="K19" t="s">
        <v>109</v>
      </c>
      <c r="L19" t="s">
        <v>109</v>
      </c>
      <c r="M19">
        <v>367006</v>
      </c>
      <c r="N19">
        <v>1799479</v>
      </c>
      <c r="O19" s="1">
        <v>0.65800000000000003</v>
      </c>
      <c r="P19" s="1">
        <v>0.29399999999999998</v>
      </c>
      <c r="Q19" s="1">
        <v>4.4999999999999998E-2</v>
      </c>
      <c r="R19" s="1">
        <v>2E-3</v>
      </c>
      <c r="S19" s="1">
        <v>1E-3</v>
      </c>
    </row>
    <row r="20" spans="1:19" x14ac:dyDescent="0.3">
      <c r="A20">
        <v>19</v>
      </c>
      <c r="B20" t="s">
        <v>110</v>
      </c>
      <c r="C20">
        <v>9.1999999999999993</v>
      </c>
      <c r="D20" s="2">
        <f t="shared" si="0"/>
        <v>9.1627321027699526</v>
      </c>
      <c r="E20" t="s">
        <v>111</v>
      </c>
      <c r="F20" t="s">
        <v>112</v>
      </c>
      <c r="G20">
        <v>1995</v>
      </c>
      <c r="H20" t="s">
        <v>47</v>
      </c>
      <c r="I20" t="s">
        <v>27</v>
      </c>
      <c r="J20">
        <v>95</v>
      </c>
      <c r="K20" t="s">
        <v>113</v>
      </c>
      <c r="L20" t="s">
        <v>113</v>
      </c>
      <c r="M20">
        <v>245857</v>
      </c>
      <c r="N20">
        <v>1450801</v>
      </c>
      <c r="O20" s="1">
        <v>0.67</v>
      </c>
      <c r="P20" s="1">
        <v>0.26500000000000001</v>
      </c>
      <c r="Q20" s="1">
        <v>5.8000000000000003E-2</v>
      </c>
      <c r="R20" s="1">
        <v>5.0000000000000001E-3</v>
      </c>
      <c r="S20" s="1">
        <v>2E-3</v>
      </c>
    </row>
    <row r="21" spans="1:19" x14ac:dyDescent="0.3">
      <c r="A21">
        <v>20</v>
      </c>
      <c r="B21" t="s">
        <v>114</v>
      </c>
      <c r="C21">
        <v>9.6</v>
      </c>
      <c r="D21" s="2">
        <f t="shared" si="0"/>
        <v>9.4757735485572532</v>
      </c>
      <c r="E21" t="s">
        <v>115</v>
      </c>
      <c r="F21" t="s">
        <v>116</v>
      </c>
      <c r="G21">
        <v>1957</v>
      </c>
      <c r="H21" t="s">
        <v>21</v>
      </c>
      <c r="I21" t="s">
        <v>117</v>
      </c>
      <c r="J21">
        <v>116</v>
      </c>
      <c r="K21" t="s">
        <v>118</v>
      </c>
      <c r="L21" t="s">
        <v>119</v>
      </c>
      <c r="M21">
        <v>146158</v>
      </c>
      <c r="N21">
        <v>498238</v>
      </c>
      <c r="O21" s="1">
        <v>0.82299999999999995</v>
      </c>
      <c r="P21" s="1">
        <v>0.16</v>
      </c>
      <c r="Q21" s="1">
        <v>1.6E-2</v>
      </c>
      <c r="R21" s="1">
        <v>1E-3</v>
      </c>
      <c r="S21" s="1">
        <v>1E-3</v>
      </c>
    </row>
    <row r="22" spans="1:19" x14ac:dyDescent="0.3">
      <c r="A22">
        <v>21</v>
      </c>
      <c r="B22" t="s">
        <v>120</v>
      </c>
      <c r="C22">
        <v>9.3000000000000007</v>
      </c>
      <c r="D22" s="2">
        <f t="shared" si="0"/>
        <v>9.2366946457982877</v>
      </c>
      <c r="E22" t="s">
        <v>121</v>
      </c>
      <c r="F22" t="s">
        <v>122</v>
      </c>
      <c r="G22">
        <v>2011</v>
      </c>
      <c r="H22" t="s">
        <v>21</v>
      </c>
      <c r="J22">
        <v>125</v>
      </c>
      <c r="K22" t="s">
        <v>123</v>
      </c>
      <c r="L22" t="s">
        <v>123</v>
      </c>
      <c r="M22">
        <v>207734</v>
      </c>
      <c r="N22">
        <v>883296</v>
      </c>
      <c r="O22" s="1">
        <v>0.71499999999999997</v>
      </c>
      <c r="P22" s="1">
        <v>0.25</v>
      </c>
      <c r="Q22" s="1">
        <v>3.3000000000000002E-2</v>
      </c>
      <c r="R22" s="1">
        <v>2E-3</v>
      </c>
      <c r="S22" s="1">
        <v>1E-3</v>
      </c>
    </row>
    <row r="23" spans="1:19" x14ac:dyDescent="0.3">
      <c r="A23">
        <v>22</v>
      </c>
      <c r="B23" t="s">
        <v>124</v>
      </c>
      <c r="C23">
        <v>9.3000000000000007</v>
      </c>
      <c r="D23" s="2">
        <f t="shared" si="0"/>
        <v>9.238223523407914</v>
      </c>
      <c r="E23" t="s">
        <v>125</v>
      </c>
      <c r="F23" t="s">
        <v>126</v>
      </c>
      <c r="G23">
        <v>1972</v>
      </c>
      <c r="H23" t="s">
        <v>21</v>
      </c>
      <c r="I23" t="s">
        <v>22</v>
      </c>
      <c r="J23">
        <v>175</v>
      </c>
      <c r="K23" t="s">
        <v>127</v>
      </c>
      <c r="L23" t="s">
        <v>128</v>
      </c>
      <c r="M23">
        <v>155521</v>
      </c>
      <c r="N23">
        <v>905775</v>
      </c>
      <c r="O23" s="1">
        <v>0.72</v>
      </c>
      <c r="P23" s="1">
        <v>0.23</v>
      </c>
      <c r="Q23" s="1">
        <v>4.4999999999999998E-2</v>
      </c>
      <c r="R23" s="1">
        <v>4.0000000000000001E-3</v>
      </c>
      <c r="S23" s="1">
        <v>2E-3</v>
      </c>
    </row>
    <row r="24" spans="1:19" x14ac:dyDescent="0.3">
      <c r="A24">
        <v>23</v>
      </c>
      <c r="B24" t="s">
        <v>129</v>
      </c>
      <c r="C24">
        <v>9.1999999999999993</v>
      </c>
      <c r="D24" s="2">
        <f t="shared" si="0"/>
        <v>9.1624683539984844</v>
      </c>
      <c r="E24" t="s">
        <v>130</v>
      </c>
      <c r="F24" t="s">
        <v>131</v>
      </c>
      <c r="G24">
        <v>2006</v>
      </c>
      <c r="H24" t="s">
        <v>21</v>
      </c>
      <c r="I24" t="s">
        <v>132</v>
      </c>
      <c r="J24">
        <v>117</v>
      </c>
      <c r="K24" t="s">
        <v>133</v>
      </c>
      <c r="L24" t="s">
        <v>134</v>
      </c>
      <c r="M24">
        <v>235543</v>
      </c>
      <c r="N24">
        <v>1440430</v>
      </c>
      <c r="O24" s="1">
        <v>0.64700000000000002</v>
      </c>
      <c r="P24" s="1">
        <v>0.29299999999999998</v>
      </c>
      <c r="Q24" s="1">
        <v>5.6000000000000001E-2</v>
      </c>
      <c r="R24" s="1">
        <v>4.0000000000000001E-3</v>
      </c>
      <c r="S24" s="1">
        <v>1E-3</v>
      </c>
    </row>
    <row r="25" spans="1:19" x14ac:dyDescent="0.3">
      <c r="A25">
        <v>24</v>
      </c>
      <c r="B25" t="s">
        <v>135</v>
      </c>
      <c r="C25">
        <v>9.3000000000000007</v>
      </c>
      <c r="D25" s="2">
        <f t="shared" si="0"/>
        <v>9.2454521306872071</v>
      </c>
      <c r="E25" t="s">
        <v>136</v>
      </c>
      <c r="F25" t="s">
        <v>137</v>
      </c>
      <c r="G25">
        <v>2011</v>
      </c>
      <c r="H25" t="s">
        <v>21</v>
      </c>
      <c r="I25" t="s">
        <v>47</v>
      </c>
      <c r="J25">
        <v>112</v>
      </c>
      <c r="K25" t="s">
        <v>138</v>
      </c>
      <c r="L25" t="s">
        <v>138</v>
      </c>
      <c r="M25">
        <v>227575</v>
      </c>
      <c r="N25">
        <v>1029120</v>
      </c>
      <c r="O25" s="1">
        <v>0.68500000000000005</v>
      </c>
      <c r="P25" s="1">
        <v>0.27100000000000002</v>
      </c>
      <c r="Q25" s="1">
        <v>0.04</v>
      </c>
      <c r="R25" s="1">
        <v>3.0000000000000001E-3</v>
      </c>
      <c r="S25" s="1">
        <v>1E-3</v>
      </c>
    </row>
    <row r="26" spans="1:19" x14ac:dyDescent="0.3">
      <c r="A26">
        <v>25</v>
      </c>
      <c r="B26" t="s">
        <v>139</v>
      </c>
      <c r="C26">
        <v>9.1</v>
      </c>
      <c r="D26" s="2">
        <f t="shared" si="0"/>
        <v>9.0701167836096541</v>
      </c>
      <c r="E26" t="s">
        <v>140</v>
      </c>
      <c r="F26" t="s">
        <v>141</v>
      </c>
      <c r="G26">
        <v>2010</v>
      </c>
      <c r="H26" t="s">
        <v>21</v>
      </c>
      <c r="I26" t="s">
        <v>47</v>
      </c>
      <c r="J26">
        <v>90</v>
      </c>
      <c r="K26" t="s">
        <v>142</v>
      </c>
      <c r="L26" t="s">
        <v>142</v>
      </c>
      <c r="M26">
        <v>407526</v>
      </c>
      <c r="N26">
        <v>1731839</v>
      </c>
      <c r="O26" s="1">
        <v>0.622</v>
      </c>
      <c r="P26" s="1">
        <v>0.30599999999999999</v>
      </c>
      <c r="Q26" s="1">
        <v>6.6000000000000003E-2</v>
      </c>
      <c r="R26" s="1">
        <v>5.0000000000000001E-3</v>
      </c>
      <c r="S26" s="1">
        <v>1E-3</v>
      </c>
    </row>
    <row r="27" spans="1:19" x14ac:dyDescent="0.3">
      <c r="A27">
        <v>26</v>
      </c>
      <c r="B27" t="s">
        <v>143</v>
      </c>
      <c r="C27">
        <v>9.1999999999999993</v>
      </c>
      <c r="D27" s="2">
        <f t="shared" si="0"/>
        <v>9.1549573159146433</v>
      </c>
      <c r="E27" t="s">
        <v>144</v>
      </c>
      <c r="F27" t="s">
        <v>145</v>
      </c>
      <c r="G27">
        <v>1988</v>
      </c>
      <c r="H27" t="s">
        <v>53</v>
      </c>
      <c r="I27" t="s">
        <v>146</v>
      </c>
      <c r="J27">
        <v>86</v>
      </c>
      <c r="K27" t="s">
        <v>54</v>
      </c>
      <c r="L27" t="s">
        <v>54</v>
      </c>
      <c r="M27">
        <v>224796</v>
      </c>
      <c r="N27">
        <v>1196064</v>
      </c>
      <c r="O27" s="1">
        <v>0.64400000000000002</v>
      </c>
      <c r="P27" s="1">
        <v>0.29499999999999998</v>
      </c>
      <c r="Q27" s="1">
        <v>5.8000000000000003E-2</v>
      </c>
      <c r="R27" s="1">
        <v>2E-3</v>
      </c>
      <c r="S27" s="1">
        <v>1E-3</v>
      </c>
    </row>
    <row r="28" spans="1:19" x14ac:dyDescent="0.3">
      <c r="A28">
        <v>27</v>
      </c>
      <c r="B28" t="s">
        <v>147</v>
      </c>
      <c r="C28">
        <v>9.3000000000000007</v>
      </c>
      <c r="D28" s="2">
        <f t="shared" si="0"/>
        <v>9.2316713427234749</v>
      </c>
      <c r="E28" t="s">
        <v>148</v>
      </c>
      <c r="F28" t="s">
        <v>149</v>
      </c>
      <c r="G28">
        <v>1987</v>
      </c>
      <c r="H28" t="s">
        <v>21</v>
      </c>
      <c r="I28" t="s">
        <v>150</v>
      </c>
      <c r="J28">
        <v>163</v>
      </c>
      <c r="K28" t="s">
        <v>151</v>
      </c>
      <c r="L28" t="s">
        <v>151</v>
      </c>
      <c r="M28">
        <v>170007</v>
      </c>
      <c r="N28">
        <v>816521</v>
      </c>
      <c r="O28" s="1">
        <v>0.70099999999999996</v>
      </c>
      <c r="P28" s="1">
        <v>0.25600000000000001</v>
      </c>
      <c r="Q28" s="1">
        <v>0.04</v>
      </c>
      <c r="R28" s="1">
        <v>3.0000000000000001E-3</v>
      </c>
      <c r="S28" s="1">
        <v>1E-3</v>
      </c>
    </row>
    <row r="29" spans="1:19" x14ac:dyDescent="0.3">
      <c r="A29">
        <v>28</v>
      </c>
      <c r="B29" t="s">
        <v>152</v>
      </c>
      <c r="C29">
        <v>9.1</v>
      </c>
      <c r="D29" s="2">
        <f t="shared" si="0"/>
        <v>9.0667987339250526</v>
      </c>
      <c r="E29" t="s">
        <v>153</v>
      </c>
      <c r="F29" t="s">
        <v>154</v>
      </c>
      <c r="G29">
        <v>2017</v>
      </c>
      <c r="H29" t="s">
        <v>47</v>
      </c>
      <c r="I29" t="s">
        <v>53</v>
      </c>
      <c r="J29">
        <v>105</v>
      </c>
      <c r="K29" t="s">
        <v>155</v>
      </c>
      <c r="L29" t="s">
        <v>156</v>
      </c>
      <c r="M29">
        <v>404530</v>
      </c>
      <c r="N29">
        <v>1556265</v>
      </c>
      <c r="O29" s="1">
        <v>0.62</v>
      </c>
      <c r="P29" s="1">
        <v>0.30599999999999999</v>
      </c>
      <c r="Q29" s="1">
        <v>6.8000000000000005E-2</v>
      </c>
      <c r="R29" s="1">
        <v>4.0000000000000001E-3</v>
      </c>
      <c r="S29" s="1">
        <v>2E-3</v>
      </c>
    </row>
    <row r="30" spans="1:19" x14ac:dyDescent="0.3">
      <c r="A30">
        <v>29</v>
      </c>
      <c r="B30" t="s">
        <v>157</v>
      </c>
      <c r="C30">
        <v>9.1999999999999993</v>
      </c>
      <c r="D30" s="2">
        <f t="shared" si="0"/>
        <v>9.1462784126150005</v>
      </c>
      <c r="E30" t="s">
        <v>158</v>
      </c>
      <c r="F30" t="s">
        <v>159</v>
      </c>
      <c r="G30">
        <v>2008</v>
      </c>
      <c r="H30" t="s">
        <v>21</v>
      </c>
      <c r="I30" t="s">
        <v>42</v>
      </c>
      <c r="J30">
        <v>152</v>
      </c>
      <c r="K30" t="s">
        <v>65</v>
      </c>
      <c r="L30" t="s">
        <v>69</v>
      </c>
      <c r="M30">
        <v>173536</v>
      </c>
      <c r="N30">
        <v>998797</v>
      </c>
      <c r="O30" s="1">
        <v>0.67800000000000005</v>
      </c>
      <c r="P30" s="1">
        <v>0.25900000000000001</v>
      </c>
      <c r="Q30" s="1">
        <v>5.6000000000000001E-2</v>
      </c>
      <c r="R30" s="1">
        <v>4.0000000000000001E-3</v>
      </c>
      <c r="S30" s="1">
        <v>2E-3</v>
      </c>
    </row>
    <row r="31" spans="1:19" x14ac:dyDescent="0.3">
      <c r="A31">
        <v>30</v>
      </c>
      <c r="B31" t="s">
        <v>160</v>
      </c>
      <c r="C31">
        <v>9.3000000000000007</v>
      </c>
      <c r="D31" s="2">
        <f t="shared" si="0"/>
        <v>9.2291579654167677</v>
      </c>
      <c r="E31" t="s">
        <v>161</v>
      </c>
      <c r="F31" t="s">
        <v>162</v>
      </c>
      <c r="G31">
        <v>1994</v>
      </c>
      <c r="H31" t="s">
        <v>21</v>
      </c>
      <c r="I31" t="s">
        <v>132</v>
      </c>
      <c r="J31">
        <v>132</v>
      </c>
      <c r="K31" t="s">
        <v>163</v>
      </c>
      <c r="L31" t="s">
        <v>29</v>
      </c>
      <c r="M31">
        <v>168939</v>
      </c>
      <c r="N31">
        <v>786665</v>
      </c>
      <c r="O31" s="1">
        <v>0.69699999999999995</v>
      </c>
      <c r="P31" s="1">
        <v>0.26</v>
      </c>
      <c r="Q31" s="1">
        <v>0.04</v>
      </c>
      <c r="R31" s="1">
        <v>3.0000000000000001E-3</v>
      </c>
      <c r="S31" s="1">
        <v>1E-3</v>
      </c>
    </row>
    <row r="32" spans="1:19" x14ac:dyDescent="0.3">
      <c r="A32">
        <v>31</v>
      </c>
      <c r="B32" t="s">
        <v>164</v>
      </c>
      <c r="C32">
        <v>9.1999999999999993</v>
      </c>
      <c r="D32" s="2">
        <f t="shared" si="0"/>
        <v>9.1511006357806419</v>
      </c>
      <c r="E32" t="s">
        <v>165</v>
      </c>
      <c r="F32" t="s">
        <v>166</v>
      </c>
      <c r="G32">
        <v>2001</v>
      </c>
      <c r="H32" t="s">
        <v>146</v>
      </c>
      <c r="I32" t="s">
        <v>167</v>
      </c>
      <c r="J32">
        <v>152</v>
      </c>
      <c r="K32" t="s">
        <v>168</v>
      </c>
      <c r="L32" t="s">
        <v>169</v>
      </c>
      <c r="M32">
        <v>174359</v>
      </c>
      <c r="N32">
        <v>1099759</v>
      </c>
      <c r="O32" s="1">
        <v>0.64600000000000002</v>
      </c>
      <c r="P32" s="1">
        <v>0.29199999999999998</v>
      </c>
      <c r="Q32" s="1">
        <v>5.8000000000000003E-2</v>
      </c>
      <c r="R32" s="1">
        <v>3.0000000000000001E-3</v>
      </c>
      <c r="S32" s="1">
        <v>1E-3</v>
      </c>
    </row>
    <row r="33" spans="1:19" x14ac:dyDescent="0.3">
      <c r="A33">
        <v>32</v>
      </c>
      <c r="B33" t="s">
        <v>170</v>
      </c>
      <c r="C33">
        <v>9.3000000000000007</v>
      </c>
      <c r="D33" s="2">
        <f t="shared" si="0"/>
        <v>9.2264520601737274</v>
      </c>
      <c r="E33" t="s">
        <v>171</v>
      </c>
      <c r="F33" t="s">
        <v>172</v>
      </c>
      <c r="G33">
        <v>2003</v>
      </c>
      <c r="H33" t="s">
        <v>21</v>
      </c>
      <c r="I33" t="s">
        <v>42</v>
      </c>
      <c r="J33">
        <v>201</v>
      </c>
      <c r="K33" t="s">
        <v>173</v>
      </c>
      <c r="L33" t="s">
        <v>174</v>
      </c>
      <c r="M33">
        <v>108624</v>
      </c>
      <c r="N33">
        <v>756803</v>
      </c>
      <c r="O33" s="1">
        <v>0.70199999999999996</v>
      </c>
      <c r="P33" s="1">
        <v>0.24199999999999999</v>
      </c>
      <c r="Q33" s="1">
        <v>5.0999999999999997E-2</v>
      </c>
      <c r="R33" s="1">
        <v>4.0000000000000001E-3</v>
      </c>
      <c r="S33" s="1">
        <v>2E-3</v>
      </c>
    </row>
    <row r="34" spans="1:19" x14ac:dyDescent="0.3">
      <c r="A34">
        <v>33</v>
      </c>
      <c r="B34" t="s">
        <v>175</v>
      </c>
      <c r="C34">
        <v>9.3000000000000007</v>
      </c>
      <c r="D34" s="2">
        <f t="shared" si="0"/>
        <v>9.2149646030917385</v>
      </c>
      <c r="E34" t="s">
        <v>176</v>
      </c>
      <c r="F34" t="s">
        <v>177</v>
      </c>
      <c r="G34">
        <v>1939</v>
      </c>
      <c r="H34" t="s">
        <v>21</v>
      </c>
      <c r="I34" t="s">
        <v>27</v>
      </c>
      <c r="J34">
        <v>238</v>
      </c>
      <c r="K34" t="s">
        <v>178</v>
      </c>
      <c r="L34" t="s">
        <v>179</v>
      </c>
      <c r="M34">
        <v>146744</v>
      </c>
      <c r="N34">
        <v>651189</v>
      </c>
      <c r="O34" s="1">
        <v>0.70199999999999996</v>
      </c>
      <c r="P34" s="1">
        <v>0.251</v>
      </c>
      <c r="Q34" s="1">
        <v>4.2999999999999997E-2</v>
      </c>
      <c r="R34" s="1">
        <v>3.0000000000000001E-3</v>
      </c>
      <c r="S34" s="1">
        <v>1E-3</v>
      </c>
    </row>
    <row r="35" spans="1:19" x14ac:dyDescent="0.3">
      <c r="A35">
        <v>34</v>
      </c>
      <c r="B35" t="s">
        <v>180</v>
      </c>
      <c r="C35">
        <v>9.3000000000000007</v>
      </c>
      <c r="D35" s="2">
        <f t="shared" si="0"/>
        <v>9.2141464288647175</v>
      </c>
      <c r="E35" t="s">
        <v>181</v>
      </c>
      <c r="F35" t="s">
        <v>182</v>
      </c>
      <c r="G35">
        <v>2013</v>
      </c>
      <c r="H35" t="s">
        <v>21</v>
      </c>
      <c r="J35">
        <v>122</v>
      </c>
      <c r="K35" t="s">
        <v>183</v>
      </c>
      <c r="L35" t="s">
        <v>184</v>
      </c>
      <c r="M35">
        <v>139214</v>
      </c>
      <c r="N35">
        <v>644745</v>
      </c>
      <c r="O35" s="1">
        <v>0.69299999999999995</v>
      </c>
      <c r="P35" s="1">
        <v>0.26700000000000002</v>
      </c>
      <c r="Q35" s="1">
        <v>3.6999999999999998E-2</v>
      </c>
      <c r="R35" s="1">
        <v>2E-3</v>
      </c>
      <c r="S35" s="1">
        <v>1E-3</v>
      </c>
    </row>
    <row r="36" spans="1:19" x14ac:dyDescent="0.3">
      <c r="A36">
        <v>35</v>
      </c>
      <c r="B36" t="s">
        <v>185</v>
      </c>
      <c r="C36">
        <v>9.1</v>
      </c>
      <c r="D36" s="2">
        <f t="shared" si="0"/>
        <v>9.0588778751218975</v>
      </c>
      <c r="E36" t="s">
        <v>186</v>
      </c>
      <c r="F36" t="s">
        <v>187</v>
      </c>
      <c r="G36">
        <v>2009</v>
      </c>
      <c r="H36" t="s">
        <v>21</v>
      </c>
      <c r="I36" t="s">
        <v>47</v>
      </c>
      <c r="J36">
        <v>96</v>
      </c>
      <c r="K36" t="s">
        <v>188</v>
      </c>
      <c r="L36" t="s">
        <v>188</v>
      </c>
      <c r="M36">
        <v>205992</v>
      </c>
      <c r="N36">
        <v>1251685</v>
      </c>
      <c r="O36" s="1">
        <v>0.60599999999999998</v>
      </c>
      <c r="P36" s="1">
        <v>0.32700000000000001</v>
      </c>
      <c r="Q36" s="1">
        <v>6.3E-2</v>
      </c>
      <c r="R36" s="1">
        <v>3.0000000000000001E-3</v>
      </c>
      <c r="S36" s="1">
        <v>1E-3</v>
      </c>
    </row>
    <row r="37" spans="1:19" x14ac:dyDescent="0.3">
      <c r="A37">
        <v>36</v>
      </c>
      <c r="B37" t="s">
        <v>189</v>
      </c>
      <c r="C37">
        <v>9</v>
      </c>
      <c r="D37" s="2">
        <f t="shared" si="0"/>
        <v>8.9751041269888692</v>
      </c>
      <c r="E37" t="s">
        <v>190</v>
      </c>
      <c r="F37" t="s">
        <v>191</v>
      </c>
      <c r="G37">
        <v>2018</v>
      </c>
      <c r="H37" t="s">
        <v>21</v>
      </c>
      <c r="I37" t="s">
        <v>47</v>
      </c>
      <c r="J37">
        <v>117</v>
      </c>
      <c r="K37" t="s">
        <v>192</v>
      </c>
      <c r="L37" t="s">
        <v>193</v>
      </c>
      <c r="M37">
        <v>521642</v>
      </c>
      <c r="N37">
        <v>1983365</v>
      </c>
      <c r="O37" s="1">
        <v>0.58699999999999997</v>
      </c>
      <c r="P37" s="1">
        <v>0.33700000000000002</v>
      </c>
      <c r="Q37" s="1">
        <v>6.9000000000000006E-2</v>
      </c>
      <c r="R37" s="1">
        <v>5.0000000000000001E-3</v>
      </c>
      <c r="S37" s="1">
        <v>2E-3</v>
      </c>
    </row>
    <row r="38" spans="1:19" x14ac:dyDescent="0.3">
      <c r="A38">
        <v>37</v>
      </c>
      <c r="B38" t="s">
        <v>194</v>
      </c>
      <c r="C38">
        <v>9</v>
      </c>
      <c r="D38" s="2">
        <f t="shared" si="0"/>
        <v>8.9669355686652352</v>
      </c>
      <c r="E38" t="s">
        <v>195</v>
      </c>
      <c r="F38" t="s">
        <v>196</v>
      </c>
      <c r="G38">
        <v>2016</v>
      </c>
      <c r="H38" t="s">
        <v>21</v>
      </c>
      <c r="I38" t="s">
        <v>132</v>
      </c>
      <c r="J38">
        <v>161</v>
      </c>
      <c r="K38" t="s">
        <v>197</v>
      </c>
      <c r="L38" t="s">
        <v>198</v>
      </c>
      <c r="M38">
        <v>305982</v>
      </c>
      <c r="N38">
        <v>1487199</v>
      </c>
      <c r="O38" s="1">
        <v>0.59599999999999997</v>
      </c>
      <c r="P38" s="1">
        <v>0.33</v>
      </c>
      <c r="Q38" s="1">
        <v>6.8000000000000005E-2</v>
      </c>
      <c r="R38" s="1">
        <v>5.0000000000000001E-3</v>
      </c>
      <c r="S38" s="1">
        <v>2E-3</v>
      </c>
    </row>
    <row r="39" spans="1:19" x14ac:dyDescent="0.3">
      <c r="A39">
        <v>38</v>
      </c>
      <c r="B39" t="s">
        <v>199</v>
      </c>
      <c r="C39">
        <v>9.1</v>
      </c>
      <c r="D39" s="2">
        <f t="shared" si="0"/>
        <v>9.0478728653938383</v>
      </c>
      <c r="E39" t="s">
        <v>200</v>
      </c>
      <c r="F39" t="s">
        <v>201</v>
      </c>
      <c r="G39">
        <v>2018</v>
      </c>
      <c r="H39" t="s">
        <v>21</v>
      </c>
      <c r="J39">
        <v>126</v>
      </c>
      <c r="K39" t="s">
        <v>202</v>
      </c>
      <c r="L39" t="s">
        <v>202</v>
      </c>
      <c r="M39">
        <v>251581</v>
      </c>
      <c r="N39">
        <v>982153</v>
      </c>
      <c r="O39" s="1">
        <v>0.59899999999999998</v>
      </c>
      <c r="P39" s="1">
        <v>0.34100000000000003</v>
      </c>
      <c r="Q39" s="1">
        <v>5.3999999999999999E-2</v>
      </c>
      <c r="R39" s="1">
        <v>4.0000000000000001E-3</v>
      </c>
      <c r="S39" s="1">
        <v>2E-3</v>
      </c>
    </row>
    <row r="40" spans="1:19" x14ac:dyDescent="0.3">
      <c r="A40">
        <v>39</v>
      </c>
      <c r="B40" t="s">
        <v>203</v>
      </c>
      <c r="C40">
        <v>9.4</v>
      </c>
      <c r="D40" s="2">
        <f t="shared" si="0"/>
        <v>9.2749296479269585</v>
      </c>
      <c r="E40" t="s">
        <v>204</v>
      </c>
      <c r="F40" t="s">
        <v>205</v>
      </c>
      <c r="G40">
        <v>1957</v>
      </c>
      <c r="H40" t="s">
        <v>21</v>
      </c>
      <c r="J40">
        <v>96</v>
      </c>
      <c r="K40" t="s">
        <v>206</v>
      </c>
      <c r="L40" t="s">
        <v>207</v>
      </c>
      <c r="M40">
        <v>109780</v>
      </c>
      <c r="N40">
        <v>454730</v>
      </c>
      <c r="O40" s="1">
        <v>0.75700000000000001</v>
      </c>
      <c r="P40" s="1">
        <v>0.21</v>
      </c>
      <c r="Q40" s="1">
        <v>0.03</v>
      </c>
      <c r="R40" s="1">
        <v>2E-3</v>
      </c>
      <c r="S40" s="1">
        <v>1E-3</v>
      </c>
    </row>
    <row r="41" spans="1:19" x14ac:dyDescent="0.3">
      <c r="A41">
        <v>40</v>
      </c>
      <c r="B41" t="s">
        <v>208</v>
      </c>
      <c r="C41">
        <v>9.1</v>
      </c>
      <c r="D41" s="2">
        <f t="shared" si="0"/>
        <v>9.0463927968256357</v>
      </c>
      <c r="E41" t="s">
        <v>209</v>
      </c>
      <c r="F41" t="s">
        <v>210</v>
      </c>
      <c r="G41">
        <v>2004</v>
      </c>
      <c r="H41" t="s">
        <v>53</v>
      </c>
      <c r="I41" t="s">
        <v>146</v>
      </c>
      <c r="J41">
        <v>119</v>
      </c>
      <c r="K41" t="s">
        <v>54</v>
      </c>
      <c r="L41" t="s">
        <v>54</v>
      </c>
      <c r="M41">
        <v>171088</v>
      </c>
      <c r="N41">
        <v>954346</v>
      </c>
      <c r="O41" s="1">
        <v>0.63400000000000001</v>
      </c>
      <c r="P41" s="1">
        <v>0.29799999999999999</v>
      </c>
      <c r="Q41" s="1">
        <v>6.3E-2</v>
      </c>
      <c r="R41" s="1">
        <v>4.0000000000000001E-3</v>
      </c>
      <c r="S41" s="1">
        <v>1E-3</v>
      </c>
    </row>
    <row r="42" spans="1:19" x14ac:dyDescent="0.3">
      <c r="A42">
        <v>41</v>
      </c>
      <c r="B42" t="s">
        <v>211</v>
      </c>
      <c r="C42">
        <v>9.3000000000000007</v>
      </c>
      <c r="D42" s="2">
        <f t="shared" si="0"/>
        <v>9.2062788294470295</v>
      </c>
      <c r="E42" t="s">
        <v>212</v>
      </c>
      <c r="F42" t="s">
        <v>213</v>
      </c>
      <c r="G42">
        <v>2000</v>
      </c>
      <c r="H42" t="s">
        <v>21</v>
      </c>
      <c r="I42" t="s">
        <v>47</v>
      </c>
      <c r="J42">
        <v>139</v>
      </c>
      <c r="K42" t="s">
        <v>214</v>
      </c>
      <c r="L42" t="s">
        <v>214</v>
      </c>
      <c r="M42">
        <v>112902</v>
      </c>
      <c r="N42">
        <v>588522</v>
      </c>
      <c r="O42" s="1">
        <v>0.70499999999999996</v>
      </c>
      <c r="P42" s="1">
        <v>0.246</v>
      </c>
      <c r="Q42" s="1">
        <v>4.3999999999999997E-2</v>
      </c>
      <c r="R42" s="1">
        <v>3.0000000000000001E-3</v>
      </c>
      <c r="S42" s="1">
        <v>2E-3</v>
      </c>
    </row>
    <row r="43" spans="1:19" x14ac:dyDescent="0.3">
      <c r="A43">
        <v>42</v>
      </c>
      <c r="B43" t="s">
        <v>215</v>
      </c>
      <c r="C43">
        <v>9.1</v>
      </c>
      <c r="D43" s="2">
        <f t="shared" si="0"/>
        <v>9.0598852948660049</v>
      </c>
      <c r="E43" t="s">
        <v>216</v>
      </c>
      <c r="F43" t="s">
        <v>217</v>
      </c>
      <c r="G43">
        <v>2012</v>
      </c>
      <c r="H43" t="s">
        <v>21</v>
      </c>
      <c r="I43" t="s">
        <v>146</v>
      </c>
      <c r="J43">
        <v>127</v>
      </c>
      <c r="K43" t="s">
        <v>218</v>
      </c>
      <c r="L43" t="s">
        <v>219</v>
      </c>
      <c r="M43">
        <v>297970</v>
      </c>
      <c r="N43">
        <v>1283747</v>
      </c>
      <c r="O43" s="1">
        <v>0.61399999999999999</v>
      </c>
      <c r="P43" s="1">
        <v>0.315</v>
      </c>
      <c r="Q43" s="1">
        <v>6.4000000000000001E-2</v>
      </c>
      <c r="R43" s="1">
        <v>4.0000000000000001E-3</v>
      </c>
      <c r="S43" s="1">
        <v>2E-3</v>
      </c>
    </row>
    <row r="44" spans="1:19" x14ac:dyDescent="0.3">
      <c r="A44">
        <v>43</v>
      </c>
      <c r="B44" t="s">
        <v>220</v>
      </c>
      <c r="C44">
        <v>9.1</v>
      </c>
      <c r="D44" s="2">
        <f t="shared" si="0"/>
        <v>9.045565450546988</v>
      </c>
      <c r="E44" t="s">
        <v>221</v>
      </c>
      <c r="F44" t="s">
        <v>222</v>
      </c>
      <c r="G44">
        <v>2002</v>
      </c>
      <c r="H44" t="s">
        <v>21</v>
      </c>
      <c r="I44" t="s">
        <v>150</v>
      </c>
      <c r="J44">
        <v>141</v>
      </c>
      <c r="K44" t="s">
        <v>59</v>
      </c>
      <c r="L44" t="s">
        <v>223</v>
      </c>
      <c r="M44">
        <v>171566</v>
      </c>
      <c r="N44">
        <v>939461</v>
      </c>
      <c r="O44" s="1">
        <v>0.60599999999999998</v>
      </c>
      <c r="P44" s="1">
        <v>0.34</v>
      </c>
      <c r="Q44" s="1">
        <v>5.0999999999999997E-2</v>
      </c>
      <c r="R44" s="1">
        <v>2E-3</v>
      </c>
      <c r="S44" s="1">
        <v>1E-3</v>
      </c>
    </row>
    <row r="45" spans="1:19" x14ac:dyDescent="0.3">
      <c r="A45">
        <v>44</v>
      </c>
      <c r="B45" t="s">
        <v>224</v>
      </c>
      <c r="C45">
        <v>9</v>
      </c>
      <c r="D45" s="2">
        <f t="shared" si="0"/>
        <v>8.9691340495879999</v>
      </c>
      <c r="E45" t="s">
        <v>225</v>
      </c>
      <c r="F45" t="s">
        <v>226</v>
      </c>
      <c r="G45">
        <v>2010</v>
      </c>
      <c r="H45" t="s">
        <v>21</v>
      </c>
      <c r="I45" t="s">
        <v>47</v>
      </c>
      <c r="J45">
        <v>132</v>
      </c>
      <c r="K45" t="s">
        <v>214</v>
      </c>
      <c r="L45" t="s">
        <v>227</v>
      </c>
      <c r="M45">
        <v>307159</v>
      </c>
      <c r="N45">
        <v>1594908</v>
      </c>
      <c r="O45" s="1">
        <v>0.58699999999999997</v>
      </c>
      <c r="P45" s="1">
        <v>0.32100000000000001</v>
      </c>
      <c r="Q45" s="1">
        <v>8.2000000000000003E-2</v>
      </c>
      <c r="R45" s="1">
        <v>7.0000000000000001E-3</v>
      </c>
      <c r="S45" s="1">
        <v>3.0000000000000001E-3</v>
      </c>
    </row>
    <row r="46" spans="1:19" x14ac:dyDescent="0.3">
      <c r="A46">
        <v>45</v>
      </c>
      <c r="B46" t="s">
        <v>228</v>
      </c>
      <c r="C46">
        <v>9</v>
      </c>
      <c r="D46" s="2">
        <f t="shared" si="0"/>
        <v>8.9576650765669434</v>
      </c>
      <c r="E46" t="s">
        <v>229</v>
      </c>
      <c r="F46" t="s">
        <v>230</v>
      </c>
      <c r="G46">
        <v>1995</v>
      </c>
      <c r="H46" t="s">
        <v>47</v>
      </c>
      <c r="I46" t="s">
        <v>27</v>
      </c>
      <c r="J46">
        <v>87</v>
      </c>
      <c r="K46" t="s">
        <v>113</v>
      </c>
      <c r="L46" t="s">
        <v>113</v>
      </c>
      <c r="M46">
        <v>129904</v>
      </c>
      <c r="N46">
        <v>1156058</v>
      </c>
      <c r="O46" s="1">
        <v>0.60099999999999998</v>
      </c>
      <c r="P46" s="1">
        <v>0.318</v>
      </c>
      <c r="Q46" s="1">
        <v>7.2999999999999995E-2</v>
      </c>
      <c r="R46" s="1">
        <v>5.0000000000000001E-3</v>
      </c>
      <c r="S46" s="1">
        <v>2E-3</v>
      </c>
    </row>
    <row r="47" spans="1:19" x14ac:dyDescent="0.3">
      <c r="A47">
        <v>46</v>
      </c>
      <c r="B47" t="s">
        <v>231</v>
      </c>
      <c r="C47">
        <v>9.1999999999999993</v>
      </c>
      <c r="D47" s="2">
        <f t="shared" si="0"/>
        <v>9.1312903669094396</v>
      </c>
      <c r="E47" t="s">
        <v>232</v>
      </c>
      <c r="F47" t="s">
        <v>233</v>
      </c>
      <c r="G47">
        <v>1986</v>
      </c>
      <c r="H47" t="s">
        <v>53</v>
      </c>
      <c r="I47" t="s">
        <v>146</v>
      </c>
      <c r="J47">
        <v>125</v>
      </c>
      <c r="K47" t="s">
        <v>54</v>
      </c>
      <c r="L47" t="s">
        <v>54</v>
      </c>
      <c r="M47">
        <v>117282</v>
      </c>
      <c r="N47">
        <v>775470</v>
      </c>
      <c r="O47" s="1">
        <v>0.63800000000000001</v>
      </c>
      <c r="P47" s="1">
        <v>0.30399999999999999</v>
      </c>
      <c r="Q47" s="1">
        <v>5.5E-2</v>
      </c>
      <c r="R47" s="1">
        <v>3.0000000000000001E-3</v>
      </c>
      <c r="S47" s="1">
        <v>1E-3</v>
      </c>
    </row>
    <row r="48" spans="1:19" x14ac:dyDescent="0.3">
      <c r="A48">
        <v>47</v>
      </c>
      <c r="B48" t="s">
        <v>234</v>
      </c>
      <c r="C48">
        <v>9.3000000000000007</v>
      </c>
      <c r="D48" s="2">
        <f t="shared" si="0"/>
        <v>9.2054105183503605</v>
      </c>
      <c r="E48" t="s">
        <v>235</v>
      </c>
      <c r="F48" t="s">
        <v>236</v>
      </c>
      <c r="G48">
        <v>2002</v>
      </c>
      <c r="H48" t="s">
        <v>21</v>
      </c>
      <c r="I48" t="s">
        <v>83</v>
      </c>
      <c r="J48">
        <v>149</v>
      </c>
      <c r="K48" t="s">
        <v>237</v>
      </c>
      <c r="L48" t="s">
        <v>238</v>
      </c>
      <c r="M48">
        <v>109048</v>
      </c>
      <c r="N48">
        <v>582890</v>
      </c>
      <c r="O48" s="1">
        <v>0.67700000000000005</v>
      </c>
      <c r="P48" s="1">
        <v>0.28000000000000003</v>
      </c>
      <c r="Q48" s="1">
        <v>0.04</v>
      </c>
      <c r="R48" s="1">
        <v>2E-3</v>
      </c>
      <c r="S48" s="1">
        <v>1E-3</v>
      </c>
    </row>
    <row r="49" spans="1:19" x14ac:dyDescent="0.3">
      <c r="A49">
        <v>48</v>
      </c>
      <c r="B49" t="s">
        <v>239</v>
      </c>
      <c r="C49">
        <v>9.1999999999999993</v>
      </c>
      <c r="D49" s="2">
        <f t="shared" si="0"/>
        <v>9.1249307656925396</v>
      </c>
      <c r="E49" t="s">
        <v>240</v>
      </c>
      <c r="F49" t="s">
        <v>241</v>
      </c>
      <c r="G49">
        <v>2002</v>
      </c>
      <c r="H49" t="s">
        <v>21</v>
      </c>
      <c r="I49" t="s">
        <v>42</v>
      </c>
      <c r="J49">
        <v>180</v>
      </c>
      <c r="K49" t="s">
        <v>173</v>
      </c>
      <c r="L49" t="s">
        <v>174</v>
      </c>
      <c r="M49">
        <v>83631</v>
      </c>
      <c r="N49">
        <v>707657</v>
      </c>
      <c r="O49" s="1">
        <v>0.65800000000000003</v>
      </c>
      <c r="P49" s="1">
        <v>0.27900000000000003</v>
      </c>
      <c r="Q49" s="1">
        <v>5.8000000000000003E-2</v>
      </c>
      <c r="R49" s="1">
        <v>4.0000000000000001E-3</v>
      </c>
      <c r="S49" s="1">
        <v>1E-3</v>
      </c>
    </row>
    <row r="50" spans="1:19" x14ac:dyDescent="0.3">
      <c r="A50">
        <v>49</v>
      </c>
      <c r="B50" t="s">
        <v>242</v>
      </c>
      <c r="C50">
        <v>9.3000000000000007</v>
      </c>
      <c r="D50" s="2">
        <f t="shared" si="0"/>
        <v>9.1978141105384754</v>
      </c>
      <c r="E50" t="s">
        <v>243</v>
      </c>
      <c r="F50" t="s">
        <v>244</v>
      </c>
      <c r="G50">
        <v>2015</v>
      </c>
      <c r="H50" t="s">
        <v>21</v>
      </c>
      <c r="I50" t="s">
        <v>132</v>
      </c>
      <c r="J50">
        <v>111</v>
      </c>
      <c r="K50" t="s">
        <v>245</v>
      </c>
      <c r="L50" t="s">
        <v>246</v>
      </c>
      <c r="M50">
        <v>166515</v>
      </c>
      <c r="N50">
        <v>537700</v>
      </c>
      <c r="O50" s="1">
        <v>0.69099999999999995</v>
      </c>
      <c r="P50" s="1">
        <v>0.26100000000000001</v>
      </c>
      <c r="Q50" s="1">
        <v>4.3999999999999997E-2</v>
      </c>
      <c r="R50" s="1">
        <v>3.0000000000000001E-3</v>
      </c>
      <c r="S50" s="1">
        <v>1E-3</v>
      </c>
    </row>
    <row r="51" spans="1:19" x14ac:dyDescent="0.3">
      <c r="A51">
        <v>50</v>
      </c>
      <c r="B51" t="s">
        <v>247</v>
      </c>
      <c r="C51">
        <v>9.1</v>
      </c>
      <c r="D51" s="2">
        <f t="shared" si="0"/>
        <v>9.0383538722574794</v>
      </c>
      <c r="E51" t="s">
        <v>248</v>
      </c>
      <c r="F51" t="s">
        <v>249</v>
      </c>
      <c r="G51">
        <v>1992</v>
      </c>
      <c r="H51" t="s">
        <v>21</v>
      </c>
      <c r="J51">
        <v>157</v>
      </c>
      <c r="K51" t="s">
        <v>250</v>
      </c>
      <c r="L51" t="s">
        <v>251</v>
      </c>
      <c r="M51">
        <v>168895</v>
      </c>
      <c r="N51">
        <v>826635</v>
      </c>
      <c r="O51" s="1">
        <v>0.627</v>
      </c>
      <c r="P51" s="1">
        <v>0.308</v>
      </c>
      <c r="Q51" s="1">
        <v>0.06</v>
      </c>
      <c r="R51" s="1">
        <v>4.0000000000000001E-3</v>
      </c>
      <c r="S51" s="1">
        <v>1E-3</v>
      </c>
    </row>
    <row r="52" spans="1:19" x14ac:dyDescent="0.3">
      <c r="A52">
        <v>51</v>
      </c>
      <c r="B52" t="s">
        <v>252</v>
      </c>
      <c r="C52">
        <v>9.1999999999999993</v>
      </c>
      <c r="D52" s="2">
        <f t="shared" si="0"/>
        <v>9.1183070851522388</v>
      </c>
      <c r="E52" t="s">
        <v>253</v>
      </c>
      <c r="F52" t="s">
        <v>254</v>
      </c>
      <c r="G52">
        <v>1988</v>
      </c>
      <c r="H52" t="s">
        <v>21</v>
      </c>
      <c r="I52" t="s">
        <v>27</v>
      </c>
      <c r="J52">
        <v>155</v>
      </c>
      <c r="K52" t="s">
        <v>84</v>
      </c>
      <c r="L52" t="s">
        <v>84</v>
      </c>
      <c r="M52">
        <v>138939</v>
      </c>
      <c r="N52">
        <v>648253</v>
      </c>
      <c r="O52" s="1">
        <v>0.66300000000000003</v>
      </c>
      <c r="P52" s="1">
        <v>0.28000000000000003</v>
      </c>
      <c r="Q52" s="1">
        <v>5.2999999999999999E-2</v>
      </c>
      <c r="R52" s="1">
        <v>4.0000000000000001E-3</v>
      </c>
      <c r="S52" s="1">
        <v>1E-3</v>
      </c>
    </row>
    <row r="53" spans="1:19" x14ac:dyDescent="0.3">
      <c r="A53">
        <v>52</v>
      </c>
      <c r="B53" t="s">
        <v>255</v>
      </c>
      <c r="C53">
        <v>9.1</v>
      </c>
      <c r="D53" s="2">
        <f t="shared" si="0"/>
        <v>9.0434643739406297</v>
      </c>
      <c r="E53" t="s">
        <v>256</v>
      </c>
      <c r="F53" t="s">
        <v>257</v>
      </c>
      <c r="G53">
        <v>1953</v>
      </c>
      <c r="H53" t="s">
        <v>21</v>
      </c>
      <c r="I53" t="s">
        <v>47</v>
      </c>
      <c r="J53">
        <v>118</v>
      </c>
      <c r="K53" t="s">
        <v>258</v>
      </c>
      <c r="L53" t="s">
        <v>259</v>
      </c>
      <c r="M53">
        <v>168129</v>
      </c>
      <c r="N53">
        <v>903618</v>
      </c>
      <c r="O53" s="1">
        <v>0.60399999999999998</v>
      </c>
      <c r="P53" s="1">
        <v>0.32800000000000001</v>
      </c>
      <c r="Q53" s="1">
        <v>6.4000000000000001E-2</v>
      </c>
      <c r="R53" s="1">
        <v>3.0000000000000001E-3</v>
      </c>
      <c r="S53" s="1">
        <v>1E-3</v>
      </c>
    </row>
    <row r="54" spans="1:19" x14ac:dyDescent="0.3">
      <c r="A54">
        <v>53</v>
      </c>
      <c r="B54" t="s">
        <v>260</v>
      </c>
      <c r="C54">
        <v>9.1</v>
      </c>
      <c r="D54" s="2">
        <f t="shared" si="0"/>
        <v>9.0362362634693305</v>
      </c>
      <c r="E54" t="s">
        <v>261</v>
      </c>
      <c r="F54" t="s">
        <v>262</v>
      </c>
      <c r="G54">
        <v>2001</v>
      </c>
      <c r="H54" t="s">
        <v>21</v>
      </c>
      <c r="I54" t="s">
        <v>42</v>
      </c>
      <c r="J54">
        <v>179</v>
      </c>
      <c r="K54" t="s">
        <v>173</v>
      </c>
      <c r="L54" t="s">
        <v>174</v>
      </c>
      <c r="M54">
        <v>121026</v>
      </c>
      <c r="N54">
        <v>798352</v>
      </c>
      <c r="O54" s="1">
        <v>0.63</v>
      </c>
      <c r="P54" s="1">
        <v>0.29399999999999998</v>
      </c>
      <c r="Q54" s="1">
        <v>6.9000000000000006E-2</v>
      </c>
      <c r="R54" s="1">
        <v>5.0000000000000001E-3</v>
      </c>
      <c r="S54" s="1">
        <v>2E-3</v>
      </c>
    </row>
    <row r="55" spans="1:19" x14ac:dyDescent="0.3">
      <c r="A55">
        <v>54</v>
      </c>
      <c r="B55" t="s">
        <v>263</v>
      </c>
      <c r="C55">
        <v>9.4</v>
      </c>
      <c r="D55" s="2">
        <f t="shared" si="0"/>
        <v>9.260414151213352</v>
      </c>
      <c r="E55" t="s">
        <v>264</v>
      </c>
      <c r="F55" t="s">
        <v>265</v>
      </c>
      <c r="G55">
        <v>1961</v>
      </c>
      <c r="H55" t="s">
        <v>21</v>
      </c>
      <c r="I55" t="s">
        <v>53</v>
      </c>
      <c r="J55">
        <v>113</v>
      </c>
      <c r="K55" t="s">
        <v>266</v>
      </c>
      <c r="L55" t="s">
        <v>267</v>
      </c>
      <c r="M55">
        <v>51404</v>
      </c>
      <c r="N55">
        <v>404843</v>
      </c>
      <c r="O55" s="1">
        <v>0.74099999999999999</v>
      </c>
      <c r="P55" s="1">
        <v>0.214</v>
      </c>
      <c r="Q55" s="1">
        <v>4.1000000000000002E-2</v>
      </c>
      <c r="R55" s="1">
        <v>3.0000000000000001E-3</v>
      </c>
      <c r="S55" s="1">
        <v>1E-3</v>
      </c>
    </row>
    <row r="56" spans="1:19" x14ac:dyDescent="0.3">
      <c r="A56">
        <v>55</v>
      </c>
      <c r="B56" t="s">
        <v>268</v>
      </c>
      <c r="C56">
        <v>9.1</v>
      </c>
      <c r="D56" s="2">
        <f t="shared" si="0"/>
        <v>9.0357952099557775</v>
      </c>
      <c r="E56" t="s">
        <v>269</v>
      </c>
      <c r="F56" t="s">
        <v>270</v>
      </c>
      <c r="G56">
        <v>1999</v>
      </c>
      <c r="H56" t="s">
        <v>42</v>
      </c>
      <c r="I56" t="s">
        <v>64</v>
      </c>
      <c r="J56">
        <v>136</v>
      </c>
      <c r="K56" t="s">
        <v>271</v>
      </c>
      <c r="L56" t="s">
        <v>271</v>
      </c>
      <c r="M56">
        <v>131461</v>
      </c>
      <c r="N56">
        <v>792696</v>
      </c>
      <c r="O56" s="1">
        <v>0.625</v>
      </c>
      <c r="P56" s="1">
        <v>0.30399999999999999</v>
      </c>
      <c r="Q56" s="1">
        <v>6.6000000000000003E-2</v>
      </c>
      <c r="R56" s="1">
        <v>5.0000000000000001E-3</v>
      </c>
      <c r="S56" s="1">
        <v>1E-3</v>
      </c>
    </row>
    <row r="57" spans="1:19" x14ac:dyDescent="0.3">
      <c r="A57">
        <v>56</v>
      </c>
      <c r="B57" t="s">
        <v>272</v>
      </c>
      <c r="C57">
        <v>9.1999999999999993</v>
      </c>
      <c r="D57" s="2">
        <f t="shared" si="0"/>
        <v>9.1208840274920799</v>
      </c>
      <c r="E57" t="s">
        <v>273</v>
      </c>
      <c r="F57" t="s">
        <v>274</v>
      </c>
      <c r="G57">
        <v>1989</v>
      </c>
      <c r="H57" t="s">
        <v>21</v>
      </c>
      <c r="J57">
        <v>128</v>
      </c>
      <c r="K57" t="s">
        <v>78</v>
      </c>
      <c r="L57" t="s">
        <v>275</v>
      </c>
      <c r="M57">
        <v>159427</v>
      </c>
      <c r="N57">
        <v>670182</v>
      </c>
      <c r="O57" s="1">
        <v>0.64900000000000002</v>
      </c>
      <c r="P57" s="1">
        <v>0.28599999999999998</v>
      </c>
      <c r="Q57" s="1">
        <v>5.8999999999999997E-2</v>
      </c>
      <c r="R57" s="1">
        <v>5.0000000000000001E-3</v>
      </c>
      <c r="S57" s="1">
        <v>2E-3</v>
      </c>
    </row>
    <row r="58" spans="1:19" x14ac:dyDescent="0.3">
      <c r="A58">
        <v>57</v>
      </c>
      <c r="B58" t="s">
        <v>276</v>
      </c>
      <c r="C58">
        <v>8.9</v>
      </c>
      <c r="D58" s="2">
        <f t="shared" si="0"/>
        <v>8.8695479440374552</v>
      </c>
      <c r="E58" t="s">
        <v>277</v>
      </c>
      <c r="F58" t="s">
        <v>278</v>
      </c>
      <c r="G58">
        <v>2018</v>
      </c>
      <c r="H58" t="s">
        <v>21</v>
      </c>
      <c r="I58" t="s">
        <v>47</v>
      </c>
      <c r="J58">
        <v>130</v>
      </c>
      <c r="K58" t="s">
        <v>279</v>
      </c>
      <c r="L58" t="s">
        <v>280</v>
      </c>
      <c r="M58">
        <v>377095</v>
      </c>
      <c r="N58">
        <v>1534829</v>
      </c>
      <c r="O58" s="1">
        <v>0.54900000000000004</v>
      </c>
      <c r="P58" s="1">
        <v>0.375</v>
      </c>
      <c r="Q58" s="1">
        <v>7.0999999999999994E-2</v>
      </c>
      <c r="R58" s="1">
        <v>4.0000000000000001E-3</v>
      </c>
      <c r="S58" s="1">
        <v>1E-3</v>
      </c>
    </row>
    <row r="59" spans="1:19" x14ac:dyDescent="0.3">
      <c r="A59">
        <v>58</v>
      </c>
      <c r="B59" t="s">
        <v>281</v>
      </c>
      <c r="C59">
        <v>9.3000000000000007</v>
      </c>
      <c r="D59" s="2">
        <f t="shared" si="0"/>
        <v>9.1934482733061067</v>
      </c>
      <c r="E59" t="s">
        <v>282</v>
      </c>
      <c r="F59" t="s">
        <v>283</v>
      </c>
      <c r="G59">
        <v>1974</v>
      </c>
      <c r="H59" t="s">
        <v>21</v>
      </c>
      <c r="I59" t="s">
        <v>22</v>
      </c>
      <c r="J59">
        <v>202</v>
      </c>
      <c r="K59" t="s">
        <v>127</v>
      </c>
      <c r="L59" t="s">
        <v>127</v>
      </c>
      <c r="M59">
        <v>64289</v>
      </c>
      <c r="N59">
        <v>514644</v>
      </c>
      <c r="O59" s="1">
        <v>0.68300000000000005</v>
      </c>
      <c r="P59" s="1">
        <v>0.26800000000000002</v>
      </c>
      <c r="Q59" s="1">
        <v>4.4999999999999998E-2</v>
      </c>
      <c r="R59" s="1">
        <v>3.0000000000000001E-3</v>
      </c>
      <c r="S59" s="1">
        <v>1E-3</v>
      </c>
    </row>
    <row r="60" spans="1:19" x14ac:dyDescent="0.3">
      <c r="A60">
        <v>59</v>
      </c>
      <c r="B60" t="s">
        <v>284</v>
      </c>
      <c r="C60">
        <v>9.1</v>
      </c>
      <c r="D60" s="2">
        <f t="shared" si="0"/>
        <v>9.0353976551194588</v>
      </c>
      <c r="E60" t="s">
        <v>285</v>
      </c>
      <c r="F60" t="s">
        <v>286</v>
      </c>
      <c r="G60">
        <v>1994</v>
      </c>
      <c r="H60" t="s">
        <v>53</v>
      </c>
      <c r="I60" t="s">
        <v>287</v>
      </c>
      <c r="J60">
        <v>89</v>
      </c>
      <c r="K60" t="s">
        <v>288</v>
      </c>
      <c r="L60" t="s">
        <v>289</v>
      </c>
      <c r="M60">
        <v>100278</v>
      </c>
      <c r="N60">
        <v>787664</v>
      </c>
      <c r="O60" s="1">
        <v>0.60899999999999999</v>
      </c>
      <c r="P60" s="1">
        <v>0.32400000000000001</v>
      </c>
      <c r="Q60" s="1">
        <v>6.3E-2</v>
      </c>
      <c r="R60" s="1">
        <v>3.0000000000000001E-3</v>
      </c>
      <c r="S60" s="1">
        <v>1E-3</v>
      </c>
    </row>
    <row r="61" spans="1:19" x14ac:dyDescent="0.3">
      <c r="A61">
        <v>60</v>
      </c>
      <c r="B61" t="s">
        <v>290</v>
      </c>
      <c r="C61">
        <v>9.1999999999999993</v>
      </c>
      <c r="D61" s="2">
        <f t="shared" si="0"/>
        <v>9.1060031514579762</v>
      </c>
      <c r="E61" t="s">
        <v>291</v>
      </c>
      <c r="F61" t="s">
        <v>292</v>
      </c>
      <c r="G61">
        <v>2013</v>
      </c>
      <c r="H61" t="s">
        <v>21</v>
      </c>
      <c r="J61">
        <v>127</v>
      </c>
      <c r="K61" t="s">
        <v>293</v>
      </c>
      <c r="L61" t="s">
        <v>293</v>
      </c>
      <c r="M61">
        <v>130778</v>
      </c>
      <c r="N61">
        <v>560126</v>
      </c>
      <c r="O61" s="1">
        <v>0.66600000000000004</v>
      </c>
      <c r="P61" s="1">
        <v>0.28699999999999998</v>
      </c>
      <c r="Q61" s="1">
        <v>4.3999999999999997E-2</v>
      </c>
      <c r="R61" s="1">
        <v>2E-3</v>
      </c>
      <c r="S61" s="1">
        <v>1E-3</v>
      </c>
    </row>
    <row r="62" spans="1:19" x14ac:dyDescent="0.3">
      <c r="A62">
        <v>61</v>
      </c>
      <c r="B62" t="s">
        <v>294</v>
      </c>
      <c r="C62">
        <v>9</v>
      </c>
      <c r="D62" s="2">
        <f t="shared" si="0"/>
        <v>8.9395311487146749</v>
      </c>
      <c r="E62" t="s">
        <v>295</v>
      </c>
      <c r="F62" t="s">
        <v>296</v>
      </c>
      <c r="G62">
        <v>1999</v>
      </c>
      <c r="H62" t="s">
        <v>21</v>
      </c>
      <c r="I62" t="s">
        <v>42</v>
      </c>
      <c r="J62">
        <v>139</v>
      </c>
      <c r="K62" t="s">
        <v>297</v>
      </c>
      <c r="L62" t="s">
        <v>298</v>
      </c>
      <c r="M62">
        <v>170095</v>
      </c>
      <c r="N62">
        <v>801872</v>
      </c>
      <c r="O62" s="1">
        <v>0.61599999999999999</v>
      </c>
      <c r="P62" s="1">
        <v>0.30099999999999999</v>
      </c>
      <c r="Q62" s="1">
        <v>7.0999999999999994E-2</v>
      </c>
      <c r="R62" s="1">
        <v>7.0000000000000001E-3</v>
      </c>
      <c r="S62" s="1">
        <v>3.0000000000000001E-3</v>
      </c>
    </row>
    <row r="63" spans="1:19" x14ac:dyDescent="0.3">
      <c r="A63">
        <v>62</v>
      </c>
      <c r="B63" t="s">
        <v>299</v>
      </c>
      <c r="C63">
        <v>9.1999999999999993</v>
      </c>
      <c r="D63" s="2">
        <f t="shared" si="0"/>
        <v>9.10895969066158</v>
      </c>
      <c r="E63" t="s">
        <v>300</v>
      </c>
      <c r="F63" t="s">
        <v>301</v>
      </c>
      <c r="G63">
        <v>1994</v>
      </c>
      <c r="H63" t="s">
        <v>21</v>
      </c>
      <c r="I63" t="s">
        <v>132</v>
      </c>
      <c r="J63">
        <v>124</v>
      </c>
      <c r="K63" t="s">
        <v>218</v>
      </c>
      <c r="L63" t="s">
        <v>218</v>
      </c>
      <c r="M63">
        <v>145250</v>
      </c>
      <c r="N63">
        <v>579128</v>
      </c>
      <c r="O63" s="1">
        <v>0.63700000000000001</v>
      </c>
      <c r="P63" s="1">
        <v>0.312</v>
      </c>
      <c r="Q63" s="1">
        <v>4.8000000000000001E-2</v>
      </c>
      <c r="R63" s="1">
        <v>3.0000000000000001E-3</v>
      </c>
      <c r="S63" s="1">
        <v>1E-3</v>
      </c>
    </row>
    <row r="64" spans="1:19" x14ac:dyDescent="0.3">
      <c r="A64">
        <v>63</v>
      </c>
      <c r="B64" t="s">
        <v>302</v>
      </c>
      <c r="C64">
        <v>9.1</v>
      </c>
      <c r="D64" s="2">
        <f t="shared" si="0"/>
        <v>9.0301360948871583</v>
      </c>
      <c r="E64" t="s">
        <v>303</v>
      </c>
      <c r="F64" t="s">
        <v>304</v>
      </c>
      <c r="G64">
        <v>2001</v>
      </c>
      <c r="H64" t="s">
        <v>21</v>
      </c>
      <c r="I64" t="s">
        <v>150</v>
      </c>
      <c r="J64">
        <v>135</v>
      </c>
      <c r="K64" t="s">
        <v>305</v>
      </c>
      <c r="L64" t="s">
        <v>306</v>
      </c>
      <c r="M64">
        <v>136328</v>
      </c>
      <c r="N64">
        <v>726461</v>
      </c>
      <c r="O64" s="1">
        <v>0.59899999999999998</v>
      </c>
      <c r="P64" s="1">
        <v>0.33800000000000002</v>
      </c>
      <c r="Q64" s="1">
        <v>5.8999999999999997E-2</v>
      </c>
      <c r="R64" s="1">
        <v>3.0000000000000001E-3</v>
      </c>
      <c r="S64" s="1">
        <v>1E-3</v>
      </c>
    </row>
    <row r="65" spans="1:19" x14ac:dyDescent="0.3">
      <c r="A65">
        <v>64</v>
      </c>
      <c r="B65" t="s">
        <v>307</v>
      </c>
      <c r="C65">
        <v>9</v>
      </c>
      <c r="D65" s="2">
        <f t="shared" si="0"/>
        <v>8.9476909750193023</v>
      </c>
      <c r="E65" t="s">
        <v>308</v>
      </c>
      <c r="F65" t="s">
        <v>309</v>
      </c>
      <c r="G65">
        <v>2008</v>
      </c>
      <c r="H65" t="s">
        <v>21</v>
      </c>
      <c r="I65" t="s">
        <v>27</v>
      </c>
      <c r="J65">
        <v>166</v>
      </c>
      <c r="K65" t="s">
        <v>297</v>
      </c>
      <c r="L65" t="s">
        <v>34</v>
      </c>
      <c r="M65">
        <v>180744</v>
      </c>
      <c r="N65">
        <v>930858</v>
      </c>
      <c r="O65" s="1">
        <v>0.57499999999999996</v>
      </c>
      <c r="P65" s="1">
        <v>0.34300000000000003</v>
      </c>
      <c r="Q65" s="1">
        <v>7.4999999999999997E-2</v>
      </c>
      <c r="R65" s="1">
        <v>5.0000000000000001E-3</v>
      </c>
      <c r="S65" s="1">
        <v>1E-3</v>
      </c>
    </row>
    <row r="66" spans="1:19" x14ac:dyDescent="0.3">
      <c r="A66">
        <v>65</v>
      </c>
      <c r="B66" t="s">
        <v>310</v>
      </c>
      <c r="C66">
        <v>9.1999999999999993</v>
      </c>
      <c r="D66" s="2">
        <f t="shared" ref="D66:D129" si="1">(N66/(N66+25000))*C66+(25000/(N66+25000))*7</f>
        <v>9.099456516771566</v>
      </c>
      <c r="E66" t="s">
        <v>311</v>
      </c>
      <c r="F66" t="s">
        <v>312</v>
      </c>
      <c r="G66">
        <v>2008</v>
      </c>
      <c r="H66" t="s">
        <v>21</v>
      </c>
      <c r="I66" t="s">
        <v>313</v>
      </c>
      <c r="J66">
        <v>94</v>
      </c>
      <c r="K66" t="s">
        <v>314</v>
      </c>
      <c r="L66" t="s">
        <v>315</v>
      </c>
      <c r="M66">
        <v>117776</v>
      </c>
      <c r="N66">
        <v>522027</v>
      </c>
      <c r="O66" s="1">
        <v>0.63500000000000001</v>
      </c>
      <c r="P66" s="1">
        <v>0.317</v>
      </c>
      <c r="Q66" s="1">
        <v>4.3999999999999997E-2</v>
      </c>
      <c r="R66" s="1">
        <v>3.0000000000000001E-3</v>
      </c>
      <c r="S66" s="1">
        <v>1E-3</v>
      </c>
    </row>
    <row r="67" spans="1:19" x14ac:dyDescent="0.3">
      <c r="A67">
        <v>66</v>
      </c>
      <c r="B67" t="s">
        <v>316</v>
      </c>
      <c r="C67">
        <v>9.1999999999999993</v>
      </c>
      <c r="D67" s="2">
        <f t="shared" si="1"/>
        <v>9.101463535237535</v>
      </c>
      <c r="E67" t="s">
        <v>317</v>
      </c>
      <c r="F67" t="s">
        <v>318</v>
      </c>
      <c r="G67">
        <v>2006</v>
      </c>
      <c r="H67" t="s">
        <v>21</v>
      </c>
      <c r="I67" t="s">
        <v>117</v>
      </c>
      <c r="J67">
        <v>137</v>
      </c>
      <c r="K67" t="s">
        <v>319</v>
      </c>
      <c r="L67" t="s">
        <v>319</v>
      </c>
      <c r="M67">
        <v>125686</v>
      </c>
      <c r="N67">
        <v>533169</v>
      </c>
      <c r="O67" s="1">
        <v>0.64600000000000002</v>
      </c>
      <c r="P67" s="1">
        <v>0.29499999999999998</v>
      </c>
      <c r="Q67" s="1">
        <v>5.2999999999999999E-2</v>
      </c>
      <c r="R67" s="1">
        <v>4.0000000000000001E-3</v>
      </c>
      <c r="S67" s="1">
        <v>2E-3</v>
      </c>
    </row>
    <row r="68" spans="1:19" x14ac:dyDescent="0.3">
      <c r="A68">
        <v>67</v>
      </c>
      <c r="B68" t="s">
        <v>320</v>
      </c>
      <c r="C68">
        <v>8.9</v>
      </c>
      <c r="D68" s="2">
        <f t="shared" si="1"/>
        <v>8.8550274569210377</v>
      </c>
      <c r="E68" t="s">
        <v>321</v>
      </c>
      <c r="F68" t="s">
        <v>322</v>
      </c>
      <c r="G68">
        <v>1995</v>
      </c>
      <c r="H68" t="s">
        <v>21</v>
      </c>
      <c r="I68" t="s">
        <v>27</v>
      </c>
      <c r="J68">
        <v>117</v>
      </c>
      <c r="K68" t="s">
        <v>323</v>
      </c>
      <c r="L68" t="s">
        <v>323</v>
      </c>
      <c r="M68">
        <v>274590</v>
      </c>
      <c r="N68">
        <v>1031200</v>
      </c>
      <c r="O68" s="1">
        <v>0.56899999999999995</v>
      </c>
      <c r="P68" s="1">
        <v>0.33100000000000002</v>
      </c>
      <c r="Q68" s="1">
        <v>8.8999999999999996E-2</v>
      </c>
      <c r="R68" s="1">
        <v>8.0000000000000002E-3</v>
      </c>
      <c r="S68" s="1">
        <v>3.0000000000000001E-3</v>
      </c>
    </row>
    <row r="69" spans="1:19" x14ac:dyDescent="0.3">
      <c r="A69">
        <v>68</v>
      </c>
      <c r="B69" t="s">
        <v>324</v>
      </c>
      <c r="C69">
        <v>9.1</v>
      </c>
      <c r="D69" s="2">
        <f t="shared" si="1"/>
        <v>9.0110434853331896</v>
      </c>
      <c r="E69" t="s">
        <v>325</v>
      </c>
      <c r="F69" t="s">
        <v>326</v>
      </c>
      <c r="G69">
        <v>1998</v>
      </c>
      <c r="H69" t="s">
        <v>21</v>
      </c>
      <c r="I69" t="s">
        <v>47</v>
      </c>
      <c r="J69">
        <v>107</v>
      </c>
      <c r="K69" t="s">
        <v>327</v>
      </c>
      <c r="L69" t="s">
        <v>327</v>
      </c>
      <c r="M69">
        <v>119021</v>
      </c>
      <c r="N69">
        <v>565176</v>
      </c>
      <c r="O69" s="1">
        <v>0.63700000000000001</v>
      </c>
      <c r="P69" s="1">
        <v>0.29599999999999999</v>
      </c>
      <c r="Q69" s="1">
        <v>5.8999999999999997E-2</v>
      </c>
      <c r="R69" s="1">
        <v>5.0000000000000001E-3</v>
      </c>
      <c r="S69" s="1">
        <v>2E-3</v>
      </c>
    </row>
    <row r="70" spans="1:19" x14ac:dyDescent="0.3">
      <c r="A70">
        <v>69</v>
      </c>
      <c r="B70" t="s">
        <v>328</v>
      </c>
      <c r="C70">
        <v>8.9</v>
      </c>
      <c r="D70" s="2">
        <f t="shared" si="1"/>
        <v>8.8498364668820351</v>
      </c>
      <c r="E70" t="s">
        <v>329</v>
      </c>
      <c r="F70" t="s">
        <v>330</v>
      </c>
      <c r="G70">
        <v>2000</v>
      </c>
      <c r="H70" t="s">
        <v>21</v>
      </c>
      <c r="I70" t="s">
        <v>331</v>
      </c>
      <c r="J70">
        <v>109</v>
      </c>
      <c r="K70" t="s">
        <v>84</v>
      </c>
      <c r="L70" t="s">
        <v>84</v>
      </c>
      <c r="M70">
        <v>175916</v>
      </c>
      <c r="N70">
        <v>921903</v>
      </c>
      <c r="O70" s="1">
        <v>0.55000000000000004</v>
      </c>
      <c r="P70" s="1">
        <v>0.37</v>
      </c>
      <c r="Q70" s="1">
        <v>7.3999999999999996E-2</v>
      </c>
      <c r="R70" s="1">
        <v>4.0000000000000001E-3</v>
      </c>
      <c r="S70" s="1">
        <v>1E-3</v>
      </c>
    </row>
    <row r="71" spans="1:19" x14ac:dyDescent="0.3">
      <c r="A71">
        <v>70</v>
      </c>
      <c r="B71" t="s">
        <v>332</v>
      </c>
      <c r="C71">
        <v>9.1</v>
      </c>
      <c r="D71" s="2">
        <f t="shared" si="1"/>
        <v>9.0111829917966908</v>
      </c>
      <c r="E71" t="s">
        <v>333</v>
      </c>
      <c r="F71" t="s">
        <v>334</v>
      </c>
      <c r="G71">
        <v>1965</v>
      </c>
      <c r="H71" t="s">
        <v>21</v>
      </c>
      <c r="I71" t="s">
        <v>27</v>
      </c>
      <c r="J71">
        <v>174</v>
      </c>
      <c r="K71" t="s">
        <v>335</v>
      </c>
      <c r="L71" t="s">
        <v>336</v>
      </c>
      <c r="M71">
        <v>79766</v>
      </c>
      <c r="N71">
        <v>566103</v>
      </c>
      <c r="O71" s="1">
        <v>0.61699999999999999</v>
      </c>
      <c r="P71" s="1">
        <v>0.317</v>
      </c>
      <c r="Q71" s="1">
        <v>6.3E-2</v>
      </c>
      <c r="R71" s="1">
        <v>3.0000000000000001E-3</v>
      </c>
      <c r="S71" s="1">
        <v>1E-3</v>
      </c>
    </row>
    <row r="72" spans="1:19" x14ac:dyDescent="0.3">
      <c r="A72">
        <v>71</v>
      </c>
      <c r="B72" t="s">
        <v>337</v>
      </c>
      <c r="C72">
        <v>8.8000000000000007</v>
      </c>
      <c r="D72" s="2">
        <f t="shared" si="1"/>
        <v>8.7626311646122126</v>
      </c>
      <c r="E72" t="s">
        <v>338</v>
      </c>
      <c r="F72" t="s">
        <v>339</v>
      </c>
      <c r="G72">
        <v>2016</v>
      </c>
      <c r="H72" t="s">
        <v>21</v>
      </c>
      <c r="I72" t="s">
        <v>117</v>
      </c>
      <c r="J72">
        <v>106</v>
      </c>
      <c r="K72" t="s">
        <v>340</v>
      </c>
      <c r="L72" t="s">
        <v>340</v>
      </c>
      <c r="M72">
        <v>282232</v>
      </c>
      <c r="N72">
        <v>1179212</v>
      </c>
      <c r="O72" s="1">
        <v>0.48499999999999999</v>
      </c>
      <c r="P72" s="1">
        <v>0.41699999999999998</v>
      </c>
      <c r="Q72" s="1">
        <v>9.1999999999999998E-2</v>
      </c>
      <c r="R72" s="1">
        <v>5.0000000000000001E-3</v>
      </c>
      <c r="S72" s="1">
        <v>1E-3</v>
      </c>
    </row>
    <row r="73" spans="1:19" x14ac:dyDescent="0.3">
      <c r="A73">
        <v>72</v>
      </c>
      <c r="B73" t="s">
        <v>341</v>
      </c>
      <c r="C73">
        <v>9.1</v>
      </c>
      <c r="D73" s="2">
        <f t="shared" si="1"/>
        <v>9.0174999174999169</v>
      </c>
      <c r="E73" t="s">
        <v>342</v>
      </c>
      <c r="F73" t="s">
        <v>343</v>
      </c>
      <c r="G73">
        <v>1998</v>
      </c>
      <c r="H73" t="s">
        <v>21</v>
      </c>
      <c r="I73" t="s">
        <v>313</v>
      </c>
      <c r="J73">
        <v>169</v>
      </c>
      <c r="K73" t="s">
        <v>59</v>
      </c>
      <c r="L73" t="s">
        <v>344</v>
      </c>
      <c r="M73">
        <v>83555</v>
      </c>
      <c r="N73">
        <v>611363</v>
      </c>
      <c r="O73" s="1">
        <v>0.60199999999999998</v>
      </c>
      <c r="P73" s="1">
        <v>0.33100000000000002</v>
      </c>
      <c r="Q73" s="1">
        <v>6.2E-2</v>
      </c>
      <c r="R73" s="1">
        <v>4.0000000000000001E-3</v>
      </c>
      <c r="S73" s="1">
        <v>2E-3</v>
      </c>
    </row>
    <row r="74" spans="1:19" x14ac:dyDescent="0.3">
      <c r="A74">
        <v>73</v>
      </c>
      <c r="B74" t="s">
        <v>345</v>
      </c>
      <c r="C74">
        <v>9.1</v>
      </c>
      <c r="D74" s="2">
        <f t="shared" si="1"/>
        <v>9.0040983786232545</v>
      </c>
      <c r="E74" t="s">
        <v>346</v>
      </c>
      <c r="F74" t="s">
        <v>347</v>
      </c>
      <c r="G74">
        <v>1975</v>
      </c>
      <c r="H74" t="s">
        <v>21</v>
      </c>
      <c r="J74">
        <v>133</v>
      </c>
      <c r="K74" t="s">
        <v>348</v>
      </c>
      <c r="L74" t="s">
        <v>349</v>
      </c>
      <c r="M74">
        <v>107430</v>
      </c>
      <c r="N74">
        <v>522436</v>
      </c>
      <c r="O74" s="1">
        <v>0.63200000000000001</v>
      </c>
      <c r="P74" s="1">
        <v>0.30099999999999999</v>
      </c>
      <c r="Q74" s="1">
        <v>0.06</v>
      </c>
      <c r="R74" s="1">
        <v>5.0000000000000001E-3</v>
      </c>
      <c r="S74" s="1">
        <v>2E-3</v>
      </c>
    </row>
    <row r="75" spans="1:19" x14ac:dyDescent="0.3">
      <c r="A75">
        <v>74</v>
      </c>
      <c r="B75" t="s">
        <v>350</v>
      </c>
      <c r="C75">
        <v>9.1999999999999993</v>
      </c>
      <c r="D75" s="2">
        <f t="shared" si="1"/>
        <v>9.0661995815696006</v>
      </c>
      <c r="E75" t="s">
        <v>351</v>
      </c>
      <c r="F75" t="s">
        <v>352</v>
      </c>
      <c r="G75">
        <v>1997</v>
      </c>
      <c r="H75" t="s">
        <v>21</v>
      </c>
      <c r="I75" t="s">
        <v>132</v>
      </c>
      <c r="J75">
        <v>89</v>
      </c>
      <c r="K75" t="s">
        <v>353</v>
      </c>
      <c r="L75" t="s">
        <v>353</v>
      </c>
      <c r="M75">
        <v>86251</v>
      </c>
      <c r="N75">
        <v>386060</v>
      </c>
      <c r="O75" s="1">
        <v>0.66900000000000004</v>
      </c>
      <c r="P75" s="1">
        <v>0.28599999999999998</v>
      </c>
      <c r="Q75" s="1">
        <v>4.2000000000000003E-2</v>
      </c>
      <c r="R75" s="1">
        <v>2E-3</v>
      </c>
      <c r="S75" s="1">
        <v>1E-3</v>
      </c>
    </row>
    <row r="76" spans="1:19" x14ac:dyDescent="0.3">
      <c r="A76">
        <v>75</v>
      </c>
      <c r="B76" t="s">
        <v>354</v>
      </c>
      <c r="C76">
        <v>8.8000000000000007</v>
      </c>
      <c r="D76" s="2">
        <f t="shared" si="1"/>
        <v>8.7661912911771296</v>
      </c>
      <c r="E76" t="s">
        <v>355</v>
      </c>
      <c r="F76" t="s">
        <v>356</v>
      </c>
      <c r="G76">
        <v>2009</v>
      </c>
      <c r="H76" t="s">
        <v>42</v>
      </c>
      <c r="I76" t="s">
        <v>64</v>
      </c>
      <c r="J76">
        <v>162</v>
      </c>
      <c r="K76" t="s">
        <v>38</v>
      </c>
      <c r="L76" t="s">
        <v>38</v>
      </c>
      <c r="M76">
        <v>247198</v>
      </c>
      <c r="N76">
        <v>1306018</v>
      </c>
      <c r="O76" s="1">
        <v>0.53600000000000003</v>
      </c>
      <c r="P76" s="1">
        <v>0.35199999999999998</v>
      </c>
      <c r="Q76" s="1">
        <v>0.10199999999999999</v>
      </c>
      <c r="R76" s="1">
        <v>8.0000000000000002E-3</v>
      </c>
      <c r="S76" s="1">
        <v>3.0000000000000001E-3</v>
      </c>
    </row>
    <row r="77" spans="1:19" x14ac:dyDescent="0.3">
      <c r="A77">
        <v>76</v>
      </c>
      <c r="B77" t="s">
        <v>357</v>
      </c>
      <c r="C77">
        <v>9</v>
      </c>
      <c r="D77" s="2">
        <f t="shared" si="1"/>
        <v>8.9374050904684221</v>
      </c>
      <c r="E77" t="s">
        <v>358</v>
      </c>
      <c r="F77" t="s">
        <v>359</v>
      </c>
      <c r="G77">
        <v>2011</v>
      </c>
      <c r="H77" t="s">
        <v>146</v>
      </c>
      <c r="I77" t="s">
        <v>167</v>
      </c>
      <c r="J77">
        <v>130</v>
      </c>
      <c r="K77" t="s">
        <v>360</v>
      </c>
      <c r="L77" t="s">
        <v>169</v>
      </c>
      <c r="M77">
        <v>137795</v>
      </c>
      <c r="N77">
        <v>773787</v>
      </c>
      <c r="O77" s="1">
        <v>0.58099999999999996</v>
      </c>
      <c r="P77" s="1">
        <v>0.32500000000000001</v>
      </c>
      <c r="Q77" s="1">
        <v>8.5999999999999993E-2</v>
      </c>
      <c r="R77" s="1">
        <v>6.0000000000000001E-3</v>
      </c>
      <c r="S77" s="1">
        <v>2E-3</v>
      </c>
    </row>
    <row r="78" spans="1:19" x14ac:dyDescent="0.3">
      <c r="A78">
        <v>77</v>
      </c>
      <c r="B78" t="s">
        <v>361</v>
      </c>
      <c r="C78">
        <v>8.9</v>
      </c>
      <c r="D78" s="2">
        <f t="shared" si="1"/>
        <v>8.8445471133562084</v>
      </c>
      <c r="E78" t="s">
        <v>362</v>
      </c>
      <c r="F78" t="s">
        <v>363</v>
      </c>
      <c r="G78">
        <v>1991</v>
      </c>
      <c r="H78" t="s">
        <v>21</v>
      </c>
      <c r="I78" t="s">
        <v>103</v>
      </c>
      <c r="J78">
        <v>118</v>
      </c>
      <c r="K78" t="s">
        <v>364</v>
      </c>
      <c r="L78" t="s">
        <v>365</v>
      </c>
      <c r="M78">
        <v>132189</v>
      </c>
      <c r="N78">
        <v>831583</v>
      </c>
      <c r="O78" s="1">
        <v>0.53900000000000003</v>
      </c>
      <c r="P78" s="1">
        <v>0.379</v>
      </c>
      <c r="Q78" s="1">
        <v>7.6999999999999999E-2</v>
      </c>
      <c r="R78" s="1">
        <v>4.0000000000000001E-3</v>
      </c>
      <c r="S78" s="1">
        <v>1E-3</v>
      </c>
    </row>
    <row r="79" spans="1:19" x14ac:dyDescent="0.3">
      <c r="A79">
        <v>78</v>
      </c>
      <c r="B79" t="s">
        <v>366</v>
      </c>
      <c r="C79">
        <v>8.9</v>
      </c>
      <c r="D79" s="2">
        <f t="shared" si="1"/>
        <v>8.8431592450590433</v>
      </c>
      <c r="E79" t="s">
        <v>367</v>
      </c>
      <c r="F79" t="s">
        <v>368</v>
      </c>
      <c r="G79">
        <v>2006</v>
      </c>
      <c r="H79" t="s">
        <v>21</v>
      </c>
      <c r="I79" t="s">
        <v>117</v>
      </c>
      <c r="J79">
        <v>130</v>
      </c>
      <c r="K79" t="s">
        <v>65</v>
      </c>
      <c r="L79" t="s">
        <v>69</v>
      </c>
      <c r="M79">
        <v>159262</v>
      </c>
      <c r="N79">
        <v>810668</v>
      </c>
      <c r="O79" s="1">
        <v>0.54100000000000004</v>
      </c>
      <c r="P79" s="1">
        <v>0.373</v>
      </c>
      <c r="Q79" s="1">
        <v>7.9000000000000001E-2</v>
      </c>
      <c r="R79" s="1">
        <v>6.0000000000000001E-3</v>
      </c>
      <c r="S79" s="1">
        <v>2E-3</v>
      </c>
    </row>
    <row r="80" spans="1:19" x14ac:dyDescent="0.3">
      <c r="A80">
        <v>79</v>
      </c>
      <c r="B80" t="s">
        <v>369</v>
      </c>
      <c r="C80">
        <v>8.9</v>
      </c>
      <c r="D80" s="2">
        <f t="shared" si="1"/>
        <v>8.8493710822544038</v>
      </c>
      <c r="E80" t="s">
        <v>370</v>
      </c>
      <c r="F80" t="s">
        <v>371</v>
      </c>
      <c r="G80">
        <v>2010</v>
      </c>
      <c r="H80" t="s">
        <v>21</v>
      </c>
      <c r="I80" t="s">
        <v>117</v>
      </c>
      <c r="J80">
        <v>138</v>
      </c>
      <c r="K80" t="s">
        <v>372</v>
      </c>
      <c r="L80" t="s">
        <v>373</v>
      </c>
      <c r="M80">
        <v>169226</v>
      </c>
      <c r="N80">
        <v>913199</v>
      </c>
      <c r="O80" s="1">
        <v>0.52</v>
      </c>
      <c r="P80" s="1">
        <v>0.39700000000000002</v>
      </c>
      <c r="Q80" s="1">
        <v>7.8E-2</v>
      </c>
      <c r="R80" s="1">
        <v>5.0000000000000001E-3</v>
      </c>
      <c r="S80" s="1">
        <v>1E-3</v>
      </c>
    </row>
    <row r="81" spans="1:19" x14ac:dyDescent="0.3">
      <c r="A81">
        <v>80</v>
      </c>
      <c r="B81" t="s">
        <v>374</v>
      </c>
      <c r="C81">
        <v>8.9</v>
      </c>
      <c r="D81" s="2">
        <f t="shared" si="1"/>
        <v>8.8467566982875834</v>
      </c>
      <c r="E81" t="s">
        <v>375</v>
      </c>
      <c r="F81" t="s">
        <v>376</v>
      </c>
      <c r="G81">
        <v>2014</v>
      </c>
      <c r="H81" t="s">
        <v>21</v>
      </c>
      <c r="I81" t="s">
        <v>47</v>
      </c>
      <c r="J81">
        <v>99</v>
      </c>
      <c r="K81" t="s">
        <v>377</v>
      </c>
      <c r="L81" t="s">
        <v>377</v>
      </c>
      <c r="M81">
        <v>209838</v>
      </c>
      <c r="N81">
        <v>867131</v>
      </c>
      <c r="O81" s="1">
        <v>0.54600000000000004</v>
      </c>
      <c r="P81" s="1">
        <v>0.36299999999999999</v>
      </c>
      <c r="Q81" s="1">
        <v>8.3000000000000004E-2</v>
      </c>
      <c r="R81" s="1">
        <v>7.0000000000000001E-3</v>
      </c>
      <c r="S81" s="1">
        <v>2E-3</v>
      </c>
    </row>
    <row r="82" spans="1:19" x14ac:dyDescent="0.3">
      <c r="A82">
        <v>81</v>
      </c>
      <c r="B82" t="s">
        <v>378</v>
      </c>
      <c r="C82">
        <v>9.3000000000000007</v>
      </c>
      <c r="D82" s="2">
        <f t="shared" si="1"/>
        <v>9.1442359162178874</v>
      </c>
      <c r="E82" t="s">
        <v>379</v>
      </c>
      <c r="F82" t="s">
        <v>380</v>
      </c>
      <c r="G82">
        <v>2009</v>
      </c>
      <c r="H82" t="s">
        <v>381</v>
      </c>
      <c r="J82">
        <v>92</v>
      </c>
      <c r="K82" t="s">
        <v>382</v>
      </c>
      <c r="L82" t="s">
        <v>383</v>
      </c>
      <c r="M82">
        <v>81395</v>
      </c>
      <c r="N82">
        <v>344148</v>
      </c>
      <c r="O82" s="1">
        <v>0.71599999999999997</v>
      </c>
      <c r="P82" s="1">
        <v>0.22700000000000001</v>
      </c>
      <c r="Q82" s="1">
        <v>4.8000000000000001E-2</v>
      </c>
      <c r="R82" s="1">
        <v>5.0000000000000001E-3</v>
      </c>
      <c r="S82" s="1">
        <v>4.0000000000000001E-3</v>
      </c>
    </row>
    <row r="83" spans="1:19" x14ac:dyDescent="0.3">
      <c r="A83">
        <v>82</v>
      </c>
      <c r="B83" t="s">
        <v>384</v>
      </c>
      <c r="C83">
        <v>8.9</v>
      </c>
      <c r="D83" s="2">
        <f t="shared" si="1"/>
        <v>8.8477198709616349</v>
      </c>
      <c r="E83" t="s">
        <v>385</v>
      </c>
      <c r="F83" t="s">
        <v>386</v>
      </c>
      <c r="G83">
        <v>2004</v>
      </c>
      <c r="H83" t="s">
        <v>21</v>
      </c>
      <c r="I83" t="s">
        <v>64</v>
      </c>
      <c r="J83">
        <v>113</v>
      </c>
      <c r="K83" t="s">
        <v>387</v>
      </c>
      <c r="L83" t="s">
        <v>388</v>
      </c>
      <c r="M83">
        <v>162429</v>
      </c>
      <c r="N83">
        <v>883567</v>
      </c>
      <c r="O83" s="1">
        <v>0.52800000000000002</v>
      </c>
      <c r="P83" s="1">
        <v>0.38200000000000001</v>
      </c>
      <c r="Q83" s="1">
        <v>8.3000000000000004E-2</v>
      </c>
      <c r="R83" s="1">
        <v>6.0000000000000001E-3</v>
      </c>
      <c r="S83" s="1">
        <v>1E-3</v>
      </c>
    </row>
    <row r="84" spans="1:19" x14ac:dyDescent="0.3">
      <c r="A84">
        <v>83</v>
      </c>
      <c r="B84" t="s">
        <v>389</v>
      </c>
      <c r="C84">
        <v>9.1999999999999993</v>
      </c>
      <c r="D84" s="2">
        <f t="shared" si="1"/>
        <v>9.0674162070428519</v>
      </c>
      <c r="E84" t="s">
        <v>390</v>
      </c>
      <c r="F84" t="s">
        <v>391</v>
      </c>
      <c r="G84">
        <v>1984</v>
      </c>
      <c r="H84" t="s">
        <v>21</v>
      </c>
      <c r="I84" t="s">
        <v>22</v>
      </c>
      <c r="J84">
        <v>229</v>
      </c>
      <c r="K84" t="s">
        <v>392</v>
      </c>
      <c r="L84" t="s">
        <v>393</v>
      </c>
      <c r="M84">
        <v>86794</v>
      </c>
      <c r="N84">
        <v>389832</v>
      </c>
      <c r="O84" s="1">
        <v>0.66</v>
      </c>
      <c r="P84" s="1">
        <v>0.27500000000000002</v>
      </c>
      <c r="Q84" s="1">
        <v>5.8000000000000003E-2</v>
      </c>
      <c r="R84" s="1">
        <v>5.0000000000000001E-3</v>
      </c>
      <c r="S84" s="1">
        <v>2E-3</v>
      </c>
    </row>
    <row r="85" spans="1:19" x14ac:dyDescent="0.3">
      <c r="A85">
        <v>84</v>
      </c>
      <c r="B85" t="s">
        <v>394</v>
      </c>
      <c r="C85">
        <v>8.9</v>
      </c>
      <c r="D85" s="2">
        <f t="shared" si="1"/>
        <v>8.8314580248944452</v>
      </c>
      <c r="E85" t="s">
        <v>395</v>
      </c>
      <c r="F85" t="s">
        <v>396</v>
      </c>
      <c r="G85">
        <v>1997</v>
      </c>
      <c r="H85" t="s">
        <v>21</v>
      </c>
      <c r="J85">
        <v>126</v>
      </c>
      <c r="K85" t="s">
        <v>397</v>
      </c>
      <c r="L85" t="s">
        <v>398</v>
      </c>
      <c r="M85">
        <v>128638</v>
      </c>
      <c r="N85">
        <v>668006</v>
      </c>
      <c r="O85" s="1">
        <v>0.55500000000000005</v>
      </c>
      <c r="P85" s="1">
        <v>0.36599999999999999</v>
      </c>
      <c r="Q85" s="1">
        <v>7.2999999999999995E-2</v>
      </c>
      <c r="R85" s="1">
        <v>5.0000000000000001E-3</v>
      </c>
      <c r="S85" s="1">
        <v>1E-3</v>
      </c>
    </row>
    <row r="86" spans="1:19" x14ac:dyDescent="0.3">
      <c r="A86">
        <v>85</v>
      </c>
      <c r="B86" t="s">
        <v>399</v>
      </c>
      <c r="C86">
        <v>8.9</v>
      </c>
      <c r="D86" s="2">
        <f t="shared" si="1"/>
        <v>8.8413628025370787</v>
      </c>
      <c r="E86" t="s">
        <v>400</v>
      </c>
      <c r="F86" t="s">
        <v>401</v>
      </c>
      <c r="G86">
        <v>1994</v>
      </c>
      <c r="H86" t="s">
        <v>21</v>
      </c>
      <c r="I86" t="s">
        <v>47</v>
      </c>
      <c r="J86">
        <v>154</v>
      </c>
      <c r="K86" t="s">
        <v>402</v>
      </c>
      <c r="L86" t="s">
        <v>402</v>
      </c>
      <c r="M86">
        <v>156553</v>
      </c>
      <c r="N86">
        <v>785066</v>
      </c>
      <c r="O86" s="1">
        <v>0.55100000000000005</v>
      </c>
      <c r="P86" s="1">
        <v>0.35</v>
      </c>
      <c r="Q86" s="1">
        <v>8.7999999999999995E-2</v>
      </c>
      <c r="R86" s="1">
        <v>8.0000000000000002E-3</v>
      </c>
      <c r="S86" s="1">
        <v>3.0000000000000001E-3</v>
      </c>
    </row>
    <row r="87" spans="1:19" x14ac:dyDescent="0.3">
      <c r="A87">
        <v>86</v>
      </c>
      <c r="B87" t="s">
        <v>403</v>
      </c>
      <c r="C87">
        <v>9</v>
      </c>
      <c r="D87" s="2">
        <f t="shared" si="1"/>
        <v>8.919231079880463</v>
      </c>
      <c r="E87" t="s">
        <v>404</v>
      </c>
      <c r="F87" t="s">
        <v>405</v>
      </c>
      <c r="G87">
        <v>1997</v>
      </c>
      <c r="H87" t="s">
        <v>21</v>
      </c>
      <c r="I87" t="s">
        <v>27</v>
      </c>
      <c r="J87">
        <v>96</v>
      </c>
      <c r="K87" t="s">
        <v>406</v>
      </c>
      <c r="L87" t="s">
        <v>406</v>
      </c>
      <c r="M87">
        <v>133273</v>
      </c>
      <c r="N87">
        <v>594050</v>
      </c>
      <c r="O87" s="1">
        <v>0.57799999999999996</v>
      </c>
      <c r="P87" s="1">
        <v>0.33800000000000002</v>
      </c>
      <c r="Q87" s="1">
        <v>7.5999999999999998E-2</v>
      </c>
      <c r="R87" s="1">
        <v>6.0000000000000001E-3</v>
      </c>
      <c r="S87" s="1">
        <v>2E-3</v>
      </c>
    </row>
    <row r="88" spans="1:19" x14ac:dyDescent="0.3">
      <c r="A88">
        <v>87</v>
      </c>
      <c r="B88" t="s">
        <v>407</v>
      </c>
      <c r="C88">
        <v>9.3000000000000007</v>
      </c>
      <c r="D88" s="2">
        <f t="shared" si="1"/>
        <v>9.1121326376250948</v>
      </c>
      <c r="E88" t="s">
        <v>408</v>
      </c>
      <c r="F88" t="s">
        <v>409</v>
      </c>
      <c r="G88">
        <v>1936</v>
      </c>
      <c r="H88" t="s">
        <v>21</v>
      </c>
      <c r="I88" t="s">
        <v>47</v>
      </c>
      <c r="J88">
        <v>87</v>
      </c>
      <c r="K88" t="s">
        <v>410</v>
      </c>
      <c r="L88" t="s">
        <v>410</v>
      </c>
      <c r="M88">
        <v>46936</v>
      </c>
      <c r="N88">
        <v>281067</v>
      </c>
      <c r="O88" s="1">
        <v>0.70699999999999996</v>
      </c>
      <c r="P88" s="1">
        <v>0.253</v>
      </c>
      <c r="Q88" s="1">
        <v>3.6999999999999998E-2</v>
      </c>
      <c r="R88" s="1">
        <v>2E-3</v>
      </c>
      <c r="S88" s="1">
        <v>1E-3</v>
      </c>
    </row>
    <row r="89" spans="1:19" x14ac:dyDescent="0.3">
      <c r="A89">
        <v>88</v>
      </c>
      <c r="B89" t="s">
        <v>411</v>
      </c>
      <c r="C89">
        <v>8.8000000000000007</v>
      </c>
      <c r="D89" s="2">
        <f t="shared" si="1"/>
        <v>8.7575236074350684</v>
      </c>
      <c r="E89" t="s">
        <v>412</v>
      </c>
      <c r="F89" t="s">
        <v>413</v>
      </c>
      <c r="G89">
        <v>2004</v>
      </c>
      <c r="H89" t="s">
        <v>47</v>
      </c>
      <c r="I89" t="s">
        <v>42</v>
      </c>
      <c r="J89">
        <v>100</v>
      </c>
      <c r="K89" t="s">
        <v>414</v>
      </c>
      <c r="L89" t="s">
        <v>415</v>
      </c>
      <c r="M89">
        <v>125948</v>
      </c>
      <c r="N89">
        <v>1034412</v>
      </c>
      <c r="O89" s="1">
        <v>0.52200000000000002</v>
      </c>
      <c r="P89" s="1">
        <v>0.35499999999999998</v>
      </c>
      <c r="Q89" s="1">
        <v>0.112</v>
      </c>
      <c r="R89" s="1">
        <v>8.9999999999999993E-3</v>
      </c>
      <c r="S89" s="1">
        <v>2E-3</v>
      </c>
    </row>
    <row r="90" spans="1:19" x14ac:dyDescent="0.3">
      <c r="A90">
        <v>89</v>
      </c>
      <c r="B90" t="s">
        <v>416</v>
      </c>
      <c r="C90">
        <v>8.8000000000000007</v>
      </c>
      <c r="D90" s="2">
        <f t="shared" si="1"/>
        <v>8.7519574663435371</v>
      </c>
      <c r="E90" t="s">
        <v>417</v>
      </c>
      <c r="F90" t="s">
        <v>418</v>
      </c>
      <c r="G90">
        <v>1999</v>
      </c>
      <c r="H90" t="s">
        <v>21</v>
      </c>
      <c r="I90" t="s">
        <v>47</v>
      </c>
      <c r="J90">
        <v>89</v>
      </c>
      <c r="K90" t="s">
        <v>414</v>
      </c>
      <c r="L90" t="s">
        <v>415</v>
      </c>
      <c r="M90">
        <v>138560</v>
      </c>
      <c r="N90">
        <v>911670</v>
      </c>
      <c r="O90" s="1">
        <v>0.51400000000000001</v>
      </c>
      <c r="P90" s="1">
        <v>0.38600000000000001</v>
      </c>
      <c r="Q90" s="1">
        <v>9.2999999999999999E-2</v>
      </c>
      <c r="R90" s="1">
        <v>6.0000000000000001E-3</v>
      </c>
      <c r="S90" s="1">
        <v>1E-3</v>
      </c>
    </row>
    <row r="91" spans="1:19" x14ac:dyDescent="0.3">
      <c r="A91">
        <v>90</v>
      </c>
      <c r="B91" t="s">
        <v>419</v>
      </c>
      <c r="C91">
        <v>8.8000000000000007</v>
      </c>
      <c r="D91" s="2">
        <f t="shared" si="1"/>
        <v>8.7512741801880818</v>
      </c>
      <c r="E91" t="s">
        <v>420</v>
      </c>
      <c r="F91" t="s">
        <v>421</v>
      </c>
      <c r="G91">
        <v>1995</v>
      </c>
      <c r="H91" t="s">
        <v>21</v>
      </c>
      <c r="I91" t="s">
        <v>117</v>
      </c>
      <c r="J91">
        <v>127</v>
      </c>
      <c r="K91" t="s">
        <v>297</v>
      </c>
      <c r="L91" t="s">
        <v>422</v>
      </c>
      <c r="M91">
        <v>144138</v>
      </c>
      <c r="N91">
        <v>898535</v>
      </c>
      <c r="O91" s="1">
        <v>0.50900000000000001</v>
      </c>
      <c r="P91" s="1">
        <v>0.39500000000000002</v>
      </c>
      <c r="Q91" s="1">
        <v>8.8999999999999996E-2</v>
      </c>
      <c r="R91" s="1">
        <v>6.0000000000000001E-3</v>
      </c>
      <c r="S91" s="1">
        <v>2E-3</v>
      </c>
    </row>
    <row r="92" spans="1:19" x14ac:dyDescent="0.3">
      <c r="A92">
        <v>91</v>
      </c>
      <c r="B92" t="s">
        <v>423</v>
      </c>
      <c r="C92">
        <v>8.9</v>
      </c>
      <c r="D92" s="2">
        <f t="shared" si="1"/>
        <v>8.8312138510685756</v>
      </c>
      <c r="E92" t="s">
        <v>424</v>
      </c>
      <c r="F92" t="s">
        <v>425</v>
      </c>
      <c r="G92">
        <v>2004</v>
      </c>
      <c r="H92" t="s">
        <v>146</v>
      </c>
      <c r="I92" t="s">
        <v>167</v>
      </c>
      <c r="J92">
        <v>141</v>
      </c>
      <c r="K92" t="s">
        <v>426</v>
      </c>
      <c r="L92" t="s">
        <v>169</v>
      </c>
      <c r="M92">
        <v>75255</v>
      </c>
      <c r="N92">
        <v>665546</v>
      </c>
      <c r="O92" s="1">
        <v>0.54900000000000004</v>
      </c>
      <c r="P92" s="1">
        <v>0.36</v>
      </c>
      <c r="Q92" s="1">
        <v>8.5999999999999993E-2</v>
      </c>
      <c r="R92" s="1">
        <v>4.0000000000000001E-3</v>
      </c>
      <c r="S92" s="1">
        <v>1E-3</v>
      </c>
    </row>
    <row r="93" spans="1:19" x14ac:dyDescent="0.3">
      <c r="A93">
        <v>92</v>
      </c>
      <c r="B93" t="s">
        <v>427</v>
      </c>
      <c r="C93">
        <v>9</v>
      </c>
      <c r="D93" s="2">
        <f t="shared" si="1"/>
        <v>8.9109672341615163</v>
      </c>
      <c r="E93" t="s">
        <v>428</v>
      </c>
      <c r="F93" t="s">
        <v>429</v>
      </c>
      <c r="G93">
        <v>2011</v>
      </c>
      <c r="H93" t="s">
        <v>21</v>
      </c>
      <c r="J93">
        <v>98</v>
      </c>
      <c r="K93" t="s">
        <v>430</v>
      </c>
      <c r="L93" t="s">
        <v>431</v>
      </c>
      <c r="M93">
        <v>150809</v>
      </c>
      <c r="N93">
        <v>536591</v>
      </c>
      <c r="O93" s="1">
        <v>0.58399999999999996</v>
      </c>
      <c r="P93" s="1">
        <v>0.33200000000000002</v>
      </c>
      <c r="Q93" s="1">
        <v>7.4999999999999997E-2</v>
      </c>
      <c r="R93" s="1">
        <v>7.0000000000000001E-3</v>
      </c>
      <c r="S93" s="1">
        <v>2E-3</v>
      </c>
    </row>
    <row r="94" spans="1:19" x14ac:dyDescent="0.3">
      <c r="A94">
        <v>93</v>
      </c>
      <c r="B94" t="s">
        <v>432</v>
      </c>
      <c r="C94">
        <v>8.8000000000000007</v>
      </c>
      <c r="D94" s="2">
        <f t="shared" si="1"/>
        <v>8.7433653801378615</v>
      </c>
      <c r="E94" t="s">
        <v>433</v>
      </c>
      <c r="F94" t="s">
        <v>434</v>
      </c>
      <c r="G94">
        <v>2003</v>
      </c>
      <c r="H94" t="s">
        <v>21</v>
      </c>
      <c r="I94" t="s">
        <v>117</v>
      </c>
      <c r="J94">
        <v>90</v>
      </c>
      <c r="K94" t="s">
        <v>435</v>
      </c>
      <c r="L94" t="s">
        <v>436</v>
      </c>
      <c r="M94">
        <v>150674</v>
      </c>
      <c r="N94">
        <v>769567</v>
      </c>
      <c r="O94" s="1">
        <v>0.52</v>
      </c>
      <c r="P94" s="1">
        <v>0.39300000000000002</v>
      </c>
      <c r="Q94" s="1">
        <v>8.1000000000000003E-2</v>
      </c>
      <c r="R94" s="1">
        <v>5.0000000000000001E-3</v>
      </c>
      <c r="S94" s="1">
        <v>2E-3</v>
      </c>
    </row>
    <row r="95" spans="1:19" x14ac:dyDescent="0.3">
      <c r="A95">
        <v>94</v>
      </c>
      <c r="B95" t="s">
        <v>437</v>
      </c>
      <c r="C95">
        <v>8.9</v>
      </c>
      <c r="D95" s="2">
        <f t="shared" si="1"/>
        <v>8.8309420378350403</v>
      </c>
      <c r="E95" t="s">
        <v>438</v>
      </c>
      <c r="F95" t="s">
        <v>439</v>
      </c>
      <c r="G95">
        <v>2003</v>
      </c>
      <c r="H95" t="s">
        <v>21</v>
      </c>
      <c r="I95" t="s">
        <v>42</v>
      </c>
      <c r="J95">
        <v>132</v>
      </c>
      <c r="K95" t="s">
        <v>440</v>
      </c>
      <c r="L95" t="s">
        <v>440</v>
      </c>
      <c r="M95">
        <v>137295</v>
      </c>
      <c r="N95">
        <v>662828</v>
      </c>
      <c r="O95" s="1">
        <v>0.53900000000000003</v>
      </c>
      <c r="P95" s="1">
        <v>0.377</v>
      </c>
      <c r="Q95" s="1">
        <v>7.5999999999999998E-2</v>
      </c>
      <c r="R95" s="1">
        <v>6.0000000000000001E-3</v>
      </c>
      <c r="S95" s="1">
        <v>2E-3</v>
      </c>
    </row>
    <row r="96" spans="1:19" x14ac:dyDescent="0.3">
      <c r="A96">
        <v>95</v>
      </c>
      <c r="B96" t="s">
        <v>441</v>
      </c>
      <c r="C96">
        <v>9.1</v>
      </c>
      <c r="D96" s="2">
        <f t="shared" si="1"/>
        <v>8.98378039142764</v>
      </c>
      <c r="E96" t="s">
        <v>442</v>
      </c>
      <c r="F96" t="s">
        <v>443</v>
      </c>
      <c r="G96">
        <v>2006</v>
      </c>
      <c r="H96" t="s">
        <v>64</v>
      </c>
      <c r="I96" t="s">
        <v>53</v>
      </c>
      <c r="J96">
        <v>90</v>
      </c>
      <c r="K96" t="s">
        <v>444</v>
      </c>
      <c r="L96" t="s">
        <v>445</v>
      </c>
      <c r="M96">
        <v>111363</v>
      </c>
      <c r="N96">
        <v>426731</v>
      </c>
      <c r="O96" s="1">
        <v>0.61799999999999999</v>
      </c>
      <c r="P96" s="1">
        <v>0.30499999999999999</v>
      </c>
      <c r="Q96" s="1">
        <v>6.9000000000000006E-2</v>
      </c>
      <c r="R96" s="1">
        <v>6.0000000000000001E-3</v>
      </c>
      <c r="S96" s="1">
        <v>2E-3</v>
      </c>
    </row>
    <row r="97" spans="1:19" x14ac:dyDescent="0.3">
      <c r="A97">
        <v>96</v>
      </c>
      <c r="B97" t="s">
        <v>446</v>
      </c>
      <c r="C97">
        <v>8.8000000000000007</v>
      </c>
      <c r="D97" s="2">
        <f t="shared" si="1"/>
        <v>8.746240348649259</v>
      </c>
      <c r="E97" t="s">
        <v>447</v>
      </c>
      <c r="F97" t="s">
        <v>448</v>
      </c>
      <c r="G97">
        <v>2003</v>
      </c>
      <c r="H97" t="s">
        <v>42</v>
      </c>
      <c r="I97" t="s">
        <v>146</v>
      </c>
      <c r="J97">
        <v>143</v>
      </c>
      <c r="K97" t="s">
        <v>449</v>
      </c>
      <c r="L97" t="s">
        <v>450</v>
      </c>
      <c r="M97">
        <v>90578</v>
      </c>
      <c r="N97">
        <v>812059</v>
      </c>
      <c r="O97" s="1">
        <v>0.50900000000000001</v>
      </c>
      <c r="P97" s="1">
        <v>0.39500000000000002</v>
      </c>
      <c r="Q97" s="1">
        <v>0.09</v>
      </c>
      <c r="R97" s="1">
        <v>5.0000000000000001E-3</v>
      </c>
      <c r="S97" s="1">
        <v>1E-3</v>
      </c>
    </row>
    <row r="98" spans="1:19" x14ac:dyDescent="0.3">
      <c r="A98">
        <v>97</v>
      </c>
      <c r="B98" t="s">
        <v>451</v>
      </c>
      <c r="C98">
        <v>9.1</v>
      </c>
      <c r="D98" s="2">
        <f t="shared" si="1"/>
        <v>8.965021210952564</v>
      </c>
      <c r="E98" t="s">
        <v>452</v>
      </c>
      <c r="F98" t="s">
        <v>453</v>
      </c>
      <c r="G98">
        <v>2012</v>
      </c>
      <c r="H98" t="s">
        <v>21</v>
      </c>
      <c r="J98">
        <v>115</v>
      </c>
      <c r="K98" t="s">
        <v>454</v>
      </c>
      <c r="L98" t="s">
        <v>454</v>
      </c>
      <c r="M98">
        <v>108350</v>
      </c>
      <c r="N98">
        <v>363950</v>
      </c>
      <c r="O98" s="1">
        <v>0.627</v>
      </c>
      <c r="P98" s="1">
        <v>0.314</v>
      </c>
      <c r="Q98" s="1">
        <v>5.2999999999999999E-2</v>
      </c>
      <c r="R98" s="1">
        <v>4.0000000000000001E-3</v>
      </c>
      <c r="S98" s="1">
        <v>2E-3</v>
      </c>
    </row>
    <row r="99" spans="1:19" x14ac:dyDescent="0.3">
      <c r="A99">
        <v>98</v>
      </c>
      <c r="B99" t="s">
        <v>455</v>
      </c>
      <c r="C99">
        <v>8.9</v>
      </c>
      <c r="D99" s="2">
        <f t="shared" si="1"/>
        <v>8.8318175293543497</v>
      </c>
      <c r="E99" t="s">
        <v>456</v>
      </c>
      <c r="F99" t="s">
        <v>457</v>
      </c>
      <c r="G99">
        <v>2006</v>
      </c>
      <c r="H99" t="s">
        <v>21</v>
      </c>
      <c r="I99" t="s">
        <v>287</v>
      </c>
      <c r="J99">
        <v>130</v>
      </c>
      <c r="K99" t="s">
        <v>458</v>
      </c>
      <c r="L99" t="s">
        <v>458</v>
      </c>
      <c r="M99">
        <v>190225</v>
      </c>
      <c r="N99">
        <v>671660</v>
      </c>
      <c r="O99" s="1">
        <v>0.55400000000000005</v>
      </c>
      <c r="P99" s="1">
        <v>0.34</v>
      </c>
      <c r="Q99" s="1">
        <v>9.0999999999999998E-2</v>
      </c>
      <c r="R99" s="1">
        <v>1.0999999999999999E-2</v>
      </c>
      <c r="S99" s="1">
        <v>4.0000000000000001E-3</v>
      </c>
    </row>
    <row r="100" spans="1:19" x14ac:dyDescent="0.3">
      <c r="A100">
        <v>99</v>
      </c>
      <c r="B100" t="s">
        <v>459</v>
      </c>
      <c r="C100">
        <v>8.9</v>
      </c>
      <c r="D100" s="2">
        <f t="shared" si="1"/>
        <v>8.81335895476243</v>
      </c>
      <c r="E100" t="s">
        <v>460</v>
      </c>
      <c r="F100" t="s">
        <v>461</v>
      </c>
      <c r="G100">
        <v>2013</v>
      </c>
      <c r="H100" t="s">
        <v>21</v>
      </c>
      <c r="I100" t="s">
        <v>47</v>
      </c>
      <c r="J100">
        <v>127</v>
      </c>
      <c r="K100" t="s">
        <v>462</v>
      </c>
      <c r="L100" t="s">
        <v>462</v>
      </c>
      <c r="M100">
        <v>116985</v>
      </c>
      <c r="N100">
        <v>523239</v>
      </c>
      <c r="O100" s="1">
        <v>0.57399999999999995</v>
      </c>
      <c r="P100" s="1">
        <v>0.33700000000000002</v>
      </c>
      <c r="Q100" s="1">
        <v>7.9000000000000001E-2</v>
      </c>
      <c r="R100" s="1">
        <v>8.0000000000000002E-3</v>
      </c>
      <c r="S100" s="1">
        <v>2E-3</v>
      </c>
    </row>
    <row r="101" spans="1:19" x14ac:dyDescent="0.3">
      <c r="A101">
        <v>100</v>
      </c>
      <c r="B101" t="s">
        <v>463</v>
      </c>
      <c r="C101">
        <v>8.9</v>
      </c>
      <c r="D101" s="2">
        <f t="shared" si="1"/>
        <v>8.8321714420351434</v>
      </c>
      <c r="E101" t="s">
        <v>464</v>
      </c>
      <c r="F101" t="s">
        <v>465</v>
      </c>
      <c r="G101">
        <v>2017</v>
      </c>
      <c r="H101" t="s">
        <v>21</v>
      </c>
      <c r="I101" t="s">
        <v>27</v>
      </c>
      <c r="J101">
        <v>132</v>
      </c>
      <c r="K101" t="s">
        <v>466</v>
      </c>
      <c r="L101" t="s">
        <v>467</v>
      </c>
      <c r="M101">
        <v>206200</v>
      </c>
      <c r="N101">
        <v>675295</v>
      </c>
      <c r="O101" s="1">
        <v>0.56100000000000005</v>
      </c>
      <c r="P101" s="1">
        <v>0.33100000000000002</v>
      </c>
      <c r="Q101" s="1">
        <v>9.2999999999999999E-2</v>
      </c>
      <c r="R101" s="1">
        <v>0.01</v>
      </c>
      <c r="S101" s="1">
        <v>4.0000000000000001E-3</v>
      </c>
    </row>
    <row r="102" spans="1:19" x14ac:dyDescent="0.3">
      <c r="A102">
        <v>101</v>
      </c>
      <c r="B102" t="s">
        <v>468</v>
      </c>
      <c r="C102">
        <v>8.6999999999999993</v>
      </c>
      <c r="D102" s="2">
        <f t="shared" si="1"/>
        <v>8.6582337905341067</v>
      </c>
      <c r="E102" t="s">
        <v>469</v>
      </c>
      <c r="F102" t="s">
        <v>470</v>
      </c>
      <c r="G102">
        <v>1990</v>
      </c>
      <c r="H102" t="s">
        <v>21</v>
      </c>
      <c r="I102" t="s">
        <v>27</v>
      </c>
      <c r="J102">
        <v>105</v>
      </c>
      <c r="K102" t="s">
        <v>471</v>
      </c>
      <c r="L102" t="s">
        <v>471</v>
      </c>
      <c r="M102">
        <v>162552</v>
      </c>
      <c r="N102">
        <v>992569</v>
      </c>
      <c r="O102" s="1">
        <v>0.48499999999999999</v>
      </c>
      <c r="P102" s="1">
        <v>0.39900000000000002</v>
      </c>
      <c r="Q102" s="1">
        <v>0.106</v>
      </c>
      <c r="R102" s="1">
        <v>8.0000000000000002E-3</v>
      </c>
      <c r="S102" s="1">
        <v>2E-3</v>
      </c>
    </row>
    <row r="103" spans="1:19" x14ac:dyDescent="0.3">
      <c r="A103">
        <v>102</v>
      </c>
      <c r="B103" t="s">
        <v>472</v>
      </c>
      <c r="C103">
        <v>8.6999999999999993</v>
      </c>
      <c r="D103" s="2">
        <f t="shared" si="1"/>
        <v>8.6589672094902568</v>
      </c>
      <c r="E103" t="s">
        <v>473</v>
      </c>
      <c r="F103" t="s">
        <v>474</v>
      </c>
      <c r="G103">
        <v>1993</v>
      </c>
      <c r="H103" t="s">
        <v>47</v>
      </c>
      <c r="I103" t="s">
        <v>27</v>
      </c>
      <c r="J103">
        <v>102</v>
      </c>
      <c r="K103" t="s">
        <v>475</v>
      </c>
      <c r="L103" t="s">
        <v>475</v>
      </c>
      <c r="M103">
        <v>108100</v>
      </c>
      <c r="N103">
        <v>1010757</v>
      </c>
      <c r="O103" s="1">
        <v>0.47499999999999998</v>
      </c>
      <c r="P103" s="1">
        <v>0.41299999999999998</v>
      </c>
      <c r="Q103" s="1">
        <v>0.105</v>
      </c>
      <c r="R103" s="1">
        <v>6.0000000000000001E-3</v>
      </c>
      <c r="S103" s="1">
        <v>1E-3</v>
      </c>
    </row>
    <row r="104" spans="1:19" x14ac:dyDescent="0.3">
      <c r="A104">
        <v>103</v>
      </c>
      <c r="B104" t="s">
        <v>476</v>
      </c>
      <c r="C104">
        <v>8.8000000000000007</v>
      </c>
      <c r="D104" s="2">
        <f t="shared" si="1"/>
        <v>8.7372425200056902</v>
      </c>
      <c r="E104" t="s">
        <v>477</v>
      </c>
      <c r="F104" t="s">
        <v>478</v>
      </c>
      <c r="G104">
        <v>2002</v>
      </c>
      <c r="H104" t="s">
        <v>146</v>
      </c>
      <c r="I104" t="s">
        <v>167</v>
      </c>
      <c r="J104">
        <v>161</v>
      </c>
      <c r="K104" t="s">
        <v>168</v>
      </c>
      <c r="L104" t="s">
        <v>169</v>
      </c>
      <c r="M104">
        <v>70666</v>
      </c>
      <c r="N104">
        <v>692046</v>
      </c>
      <c r="O104" s="1">
        <v>0.51700000000000002</v>
      </c>
      <c r="P104" s="1">
        <v>0.38500000000000001</v>
      </c>
      <c r="Q104" s="1">
        <v>9.1999999999999998E-2</v>
      </c>
      <c r="R104" s="1">
        <v>5.0000000000000001E-3</v>
      </c>
      <c r="S104" s="1">
        <v>1E-3</v>
      </c>
    </row>
    <row r="105" spans="1:19" x14ac:dyDescent="0.3">
      <c r="A105">
        <v>104</v>
      </c>
      <c r="B105" t="s">
        <v>479</v>
      </c>
      <c r="C105">
        <v>9.1</v>
      </c>
      <c r="D105" s="2">
        <f t="shared" si="1"/>
        <v>8.9632712801975156</v>
      </c>
      <c r="E105" t="s">
        <v>480</v>
      </c>
      <c r="F105" t="s">
        <v>481</v>
      </c>
      <c r="G105">
        <v>2000</v>
      </c>
      <c r="H105" t="s">
        <v>21</v>
      </c>
      <c r="I105" t="s">
        <v>27</v>
      </c>
      <c r="J105">
        <v>173</v>
      </c>
      <c r="K105" t="s">
        <v>482</v>
      </c>
      <c r="L105" t="s">
        <v>482</v>
      </c>
      <c r="M105">
        <v>112472</v>
      </c>
      <c r="N105">
        <v>358972</v>
      </c>
      <c r="O105" s="1">
        <v>0.64900000000000002</v>
      </c>
      <c r="P105" s="1">
        <v>0.26800000000000002</v>
      </c>
      <c r="Q105" s="1">
        <v>7.0999999999999994E-2</v>
      </c>
      <c r="R105" s="1">
        <v>8.0000000000000002E-3</v>
      </c>
      <c r="S105" s="1">
        <v>3.0000000000000001E-3</v>
      </c>
    </row>
    <row r="106" spans="1:19" x14ac:dyDescent="0.3">
      <c r="A106">
        <v>105</v>
      </c>
      <c r="B106" t="s">
        <v>483</v>
      </c>
      <c r="C106">
        <v>8.8000000000000007</v>
      </c>
      <c r="D106" s="2">
        <f t="shared" si="1"/>
        <v>8.7356606082789074</v>
      </c>
      <c r="E106" t="s">
        <v>484</v>
      </c>
      <c r="F106" t="s">
        <v>485</v>
      </c>
      <c r="G106">
        <v>2005</v>
      </c>
      <c r="H106" t="s">
        <v>21</v>
      </c>
      <c r="I106" t="s">
        <v>27</v>
      </c>
      <c r="J106">
        <v>134</v>
      </c>
      <c r="K106" t="s">
        <v>218</v>
      </c>
      <c r="L106" t="s">
        <v>486</v>
      </c>
      <c r="M106">
        <v>135687</v>
      </c>
      <c r="N106">
        <v>674416</v>
      </c>
      <c r="O106" s="1">
        <v>0.53800000000000003</v>
      </c>
      <c r="P106" s="1">
        <v>0.35699999999999998</v>
      </c>
      <c r="Q106" s="1">
        <v>9.6000000000000002E-2</v>
      </c>
      <c r="R106" s="1">
        <v>7.0000000000000001E-3</v>
      </c>
      <c r="S106" s="1">
        <v>3.0000000000000001E-3</v>
      </c>
    </row>
    <row r="107" spans="1:19" x14ac:dyDescent="0.3">
      <c r="A107">
        <v>106</v>
      </c>
      <c r="B107" t="s">
        <v>487</v>
      </c>
      <c r="C107">
        <v>8.9</v>
      </c>
      <c r="D107" s="2">
        <f t="shared" si="1"/>
        <v>8.8156549702306446</v>
      </c>
      <c r="E107" t="s">
        <v>488</v>
      </c>
      <c r="F107" t="s">
        <v>489</v>
      </c>
      <c r="G107">
        <v>1995</v>
      </c>
      <c r="H107" t="s">
        <v>21</v>
      </c>
      <c r="I107" t="s">
        <v>42</v>
      </c>
      <c r="J107">
        <v>178</v>
      </c>
      <c r="K107" t="s">
        <v>490</v>
      </c>
      <c r="L107" t="s">
        <v>491</v>
      </c>
      <c r="M107">
        <v>94805</v>
      </c>
      <c r="N107">
        <v>538163</v>
      </c>
      <c r="O107" s="1">
        <v>0.56299999999999994</v>
      </c>
      <c r="P107" s="1">
        <v>0.34200000000000003</v>
      </c>
      <c r="Q107" s="1">
        <v>8.5999999999999993E-2</v>
      </c>
      <c r="R107" s="1">
        <v>7.0000000000000001E-3</v>
      </c>
      <c r="S107" s="1">
        <v>2E-3</v>
      </c>
    </row>
    <row r="108" spans="1:19" x14ac:dyDescent="0.3">
      <c r="A108">
        <v>107</v>
      </c>
      <c r="B108" t="s">
        <v>492</v>
      </c>
      <c r="C108">
        <v>8.9</v>
      </c>
      <c r="D108" s="2">
        <f t="shared" si="1"/>
        <v>8.8273669209079291</v>
      </c>
      <c r="E108" t="s">
        <v>493</v>
      </c>
      <c r="F108" t="s">
        <v>494</v>
      </c>
      <c r="G108">
        <v>2008</v>
      </c>
      <c r="H108" t="s">
        <v>21</v>
      </c>
      <c r="J108">
        <v>130</v>
      </c>
      <c r="K108" t="s">
        <v>495</v>
      </c>
      <c r="L108" t="s">
        <v>496</v>
      </c>
      <c r="M108">
        <v>140659</v>
      </c>
      <c r="N108">
        <v>628972</v>
      </c>
      <c r="O108" s="1">
        <v>0.53100000000000003</v>
      </c>
      <c r="P108" s="1">
        <v>0.379</v>
      </c>
      <c r="Q108" s="1">
        <v>8.3000000000000004E-2</v>
      </c>
      <c r="R108" s="1">
        <v>5.0000000000000001E-3</v>
      </c>
      <c r="S108" s="1">
        <v>1E-3</v>
      </c>
    </row>
    <row r="109" spans="1:19" x14ac:dyDescent="0.3">
      <c r="A109">
        <v>108</v>
      </c>
      <c r="B109" t="s">
        <v>497</v>
      </c>
      <c r="C109">
        <v>8.9</v>
      </c>
      <c r="D109" s="2">
        <f t="shared" si="1"/>
        <v>8.8135566786110111</v>
      </c>
      <c r="E109" t="s">
        <v>498</v>
      </c>
      <c r="F109" t="s">
        <v>499</v>
      </c>
      <c r="G109">
        <v>1999</v>
      </c>
      <c r="H109" t="s">
        <v>21</v>
      </c>
      <c r="I109" t="s">
        <v>117</v>
      </c>
      <c r="J109">
        <v>107</v>
      </c>
      <c r="K109" t="s">
        <v>500</v>
      </c>
      <c r="L109" t="s">
        <v>500</v>
      </c>
      <c r="M109">
        <v>115100</v>
      </c>
      <c r="N109">
        <v>524493</v>
      </c>
      <c r="O109" s="1">
        <v>0.54300000000000004</v>
      </c>
      <c r="P109" s="1">
        <v>0.376</v>
      </c>
      <c r="Q109" s="1">
        <v>7.5999999999999998E-2</v>
      </c>
      <c r="R109" s="1">
        <v>4.0000000000000001E-3</v>
      </c>
      <c r="S109" s="1">
        <v>1E-3</v>
      </c>
    </row>
    <row r="110" spans="1:19" x14ac:dyDescent="0.3">
      <c r="A110">
        <v>109</v>
      </c>
      <c r="B110" t="s">
        <v>501</v>
      </c>
      <c r="C110">
        <v>8.8000000000000007</v>
      </c>
      <c r="D110" s="2">
        <f t="shared" si="1"/>
        <v>8.731305890290928</v>
      </c>
      <c r="E110" t="s">
        <v>502</v>
      </c>
      <c r="F110" t="s">
        <v>503</v>
      </c>
      <c r="G110">
        <v>1995</v>
      </c>
      <c r="H110" t="s">
        <v>21</v>
      </c>
      <c r="I110" t="s">
        <v>27</v>
      </c>
      <c r="J110">
        <v>101</v>
      </c>
      <c r="K110" t="s">
        <v>504</v>
      </c>
      <c r="L110" t="s">
        <v>504</v>
      </c>
      <c r="M110">
        <v>168549</v>
      </c>
      <c r="N110">
        <v>630078</v>
      </c>
      <c r="O110" s="1">
        <v>0.54300000000000004</v>
      </c>
      <c r="P110" s="1">
        <v>0.34799999999999998</v>
      </c>
      <c r="Q110" s="1">
        <v>9.7000000000000003E-2</v>
      </c>
      <c r="R110" s="1">
        <v>0.01</v>
      </c>
      <c r="S110" s="1">
        <v>3.0000000000000001E-3</v>
      </c>
    </row>
    <row r="111" spans="1:19" x14ac:dyDescent="0.3">
      <c r="A111">
        <v>110</v>
      </c>
      <c r="B111" t="s">
        <v>505</v>
      </c>
      <c r="C111">
        <v>8.8000000000000007</v>
      </c>
      <c r="D111" s="2">
        <f t="shared" si="1"/>
        <v>8.7427588698311265</v>
      </c>
      <c r="E111" t="s">
        <v>506</v>
      </c>
      <c r="F111" t="s">
        <v>507</v>
      </c>
      <c r="G111">
        <v>1994</v>
      </c>
      <c r="H111" t="s">
        <v>21</v>
      </c>
      <c r="I111" t="s">
        <v>27</v>
      </c>
      <c r="J111">
        <v>102</v>
      </c>
      <c r="K111" t="s">
        <v>406</v>
      </c>
      <c r="L111" t="s">
        <v>406</v>
      </c>
      <c r="M111">
        <v>171035</v>
      </c>
      <c r="N111">
        <v>761148</v>
      </c>
      <c r="O111" s="1">
        <v>0.51</v>
      </c>
      <c r="P111" s="1">
        <v>0.38200000000000001</v>
      </c>
      <c r="Q111" s="1">
        <v>9.8000000000000004E-2</v>
      </c>
      <c r="R111" s="1">
        <v>8.0000000000000002E-3</v>
      </c>
      <c r="S111" s="1">
        <v>3.0000000000000001E-3</v>
      </c>
    </row>
    <row r="112" spans="1:19" x14ac:dyDescent="0.3">
      <c r="A112">
        <v>111</v>
      </c>
      <c r="B112" t="s">
        <v>508</v>
      </c>
      <c r="C112">
        <v>8.8000000000000007</v>
      </c>
      <c r="D112" s="2">
        <f t="shared" si="1"/>
        <v>8.7361983578875151</v>
      </c>
      <c r="E112" t="s">
        <v>509</v>
      </c>
      <c r="F112" t="s">
        <v>510</v>
      </c>
      <c r="G112">
        <v>2012</v>
      </c>
      <c r="H112" t="s">
        <v>21</v>
      </c>
      <c r="I112" t="s">
        <v>42</v>
      </c>
      <c r="J112">
        <v>165</v>
      </c>
      <c r="K112" t="s">
        <v>65</v>
      </c>
      <c r="L112" t="s">
        <v>511</v>
      </c>
      <c r="M112">
        <v>141645</v>
      </c>
      <c r="N112">
        <v>680311</v>
      </c>
      <c r="O112" s="1">
        <v>0.53</v>
      </c>
      <c r="P112" s="1">
        <v>0.36699999999999999</v>
      </c>
      <c r="Q112" s="1">
        <v>9.2999999999999999E-2</v>
      </c>
      <c r="R112" s="1">
        <v>7.0000000000000001E-3</v>
      </c>
      <c r="S112" s="1">
        <v>2E-3</v>
      </c>
    </row>
    <row r="113" spans="1:19" x14ac:dyDescent="0.3">
      <c r="A113">
        <v>112</v>
      </c>
      <c r="B113" t="s">
        <v>512</v>
      </c>
      <c r="C113">
        <v>8.9</v>
      </c>
      <c r="D113" s="2">
        <f t="shared" si="1"/>
        <v>8.8086821195745149</v>
      </c>
      <c r="E113" t="s">
        <v>513</v>
      </c>
      <c r="F113" t="s">
        <v>514</v>
      </c>
      <c r="G113">
        <v>1997</v>
      </c>
      <c r="H113" t="s">
        <v>53</v>
      </c>
      <c r="I113" t="s">
        <v>146</v>
      </c>
      <c r="J113">
        <v>134</v>
      </c>
      <c r="K113" t="s">
        <v>54</v>
      </c>
      <c r="L113" t="s">
        <v>54</v>
      </c>
      <c r="M113">
        <v>77737</v>
      </c>
      <c r="N113">
        <v>495161</v>
      </c>
      <c r="O113" s="1">
        <v>0.55600000000000005</v>
      </c>
      <c r="P113" s="1">
        <v>0.35499999999999998</v>
      </c>
      <c r="Q113" s="1">
        <v>8.3000000000000004E-2</v>
      </c>
      <c r="R113" s="1">
        <v>5.0000000000000001E-3</v>
      </c>
      <c r="S113" s="1">
        <v>1E-3</v>
      </c>
    </row>
    <row r="114" spans="1:19" x14ac:dyDescent="0.3">
      <c r="A114">
        <v>113</v>
      </c>
      <c r="B114" t="s">
        <v>515</v>
      </c>
      <c r="C114">
        <v>8.6999999999999993</v>
      </c>
      <c r="D114" s="2">
        <f t="shared" si="1"/>
        <v>8.6552459157949269</v>
      </c>
      <c r="E114" t="s">
        <v>516</v>
      </c>
      <c r="F114" t="s">
        <v>517</v>
      </c>
      <c r="G114">
        <v>2001</v>
      </c>
      <c r="H114" t="s">
        <v>21</v>
      </c>
      <c r="I114" t="s">
        <v>47</v>
      </c>
      <c r="J114">
        <v>122</v>
      </c>
      <c r="K114" t="s">
        <v>518</v>
      </c>
      <c r="L114" t="s">
        <v>519</v>
      </c>
      <c r="M114">
        <v>188699</v>
      </c>
      <c r="N114">
        <v>924634</v>
      </c>
      <c r="O114" s="1">
        <v>0.502</v>
      </c>
      <c r="P114" s="1">
        <v>0.36799999999999999</v>
      </c>
      <c r="Q114" s="1">
        <v>0.11600000000000001</v>
      </c>
      <c r="R114" s="1">
        <v>1.0999999999999999E-2</v>
      </c>
      <c r="S114" s="1">
        <v>3.0000000000000001E-3</v>
      </c>
    </row>
    <row r="115" spans="1:19" x14ac:dyDescent="0.3">
      <c r="A115">
        <v>114</v>
      </c>
      <c r="B115" t="s">
        <v>520</v>
      </c>
      <c r="C115">
        <v>8.9</v>
      </c>
      <c r="D115" s="2">
        <f t="shared" si="1"/>
        <v>8.8187384095310435</v>
      </c>
      <c r="E115" t="s">
        <v>521</v>
      </c>
      <c r="F115" t="s">
        <v>522</v>
      </c>
      <c r="G115">
        <v>1999</v>
      </c>
      <c r="H115" t="s">
        <v>21</v>
      </c>
      <c r="I115" t="s">
        <v>47</v>
      </c>
      <c r="J115">
        <v>121</v>
      </c>
      <c r="K115" t="s">
        <v>523</v>
      </c>
      <c r="L115" t="s">
        <v>523</v>
      </c>
      <c r="M115">
        <v>145017</v>
      </c>
      <c r="N115">
        <v>559532</v>
      </c>
      <c r="O115" s="1">
        <v>0.54</v>
      </c>
      <c r="P115" s="1">
        <v>0.36399999999999999</v>
      </c>
      <c r="Q115" s="1">
        <v>8.5999999999999993E-2</v>
      </c>
      <c r="R115" s="1">
        <v>8.0000000000000002E-3</v>
      </c>
      <c r="S115" s="1">
        <v>2E-3</v>
      </c>
    </row>
    <row r="116" spans="1:19" x14ac:dyDescent="0.3">
      <c r="A116">
        <v>115</v>
      </c>
      <c r="B116" t="s">
        <v>524</v>
      </c>
      <c r="C116">
        <v>9</v>
      </c>
      <c r="D116" s="2">
        <f t="shared" si="1"/>
        <v>8.883238951485783</v>
      </c>
      <c r="E116" t="s">
        <v>525</v>
      </c>
      <c r="F116" t="s">
        <v>526</v>
      </c>
      <c r="G116">
        <v>2014</v>
      </c>
      <c r="H116" t="s">
        <v>21</v>
      </c>
      <c r="J116">
        <v>111</v>
      </c>
      <c r="K116" t="s">
        <v>527</v>
      </c>
      <c r="L116" t="s">
        <v>527</v>
      </c>
      <c r="M116">
        <v>108011</v>
      </c>
      <c r="N116">
        <v>403225</v>
      </c>
      <c r="O116" s="1">
        <v>0.59399999999999997</v>
      </c>
      <c r="P116" s="1">
        <v>0.32600000000000001</v>
      </c>
      <c r="Q116" s="1">
        <v>7.1999999999999995E-2</v>
      </c>
      <c r="R116" s="1">
        <v>6.0000000000000001E-3</v>
      </c>
      <c r="S116" s="1">
        <v>2E-3</v>
      </c>
    </row>
    <row r="117" spans="1:19" x14ac:dyDescent="0.3">
      <c r="A117">
        <v>116</v>
      </c>
      <c r="B117" t="s">
        <v>528</v>
      </c>
      <c r="C117">
        <v>8.9</v>
      </c>
      <c r="D117" s="2">
        <f t="shared" si="1"/>
        <v>8.8218056797061877</v>
      </c>
      <c r="E117" t="s">
        <v>529</v>
      </c>
      <c r="F117" t="s">
        <v>530</v>
      </c>
      <c r="G117">
        <v>1994</v>
      </c>
      <c r="H117" t="s">
        <v>21</v>
      </c>
      <c r="I117" t="s">
        <v>27</v>
      </c>
      <c r="J117">
        <v>134</v>
      </c>
      <c r="K117" t="s">
        <v>214</v>
      </c>
      <c r="L117" t="s">
        <v>214</v>
      </c>
      <c r="M117">
        <v>110862</v>
      </c>
      <c r="N117">
        <v>582461</v>
      </c>
      <c r="O117" s="1">
        <v>0.52600000000000002</v>
      </c>
      <c r="P117" s="1">
        <v>0.38300000000000001</v>
      </c>
      <c r="Q117" s="1">
        <v>8.4000000000000005E-2</v>
      </c>
      <c r="R117" s="1">
        <v>5.0000000000000001E-3</v>
      </c>
      <c r="S117" s="1">
        <v>2E-3</v>
      </c>
    </row>
    <row r="118" spans="1:19" x14ac:dyDescent="0.3">
      <c r="A118">
        <v>117</v>
      </c>
      <c r="B118" t="s">
        <v>531</v>
      </c>
      <c r="C118">
        <v>8.6999999999999993</v>
      </c>
      <c r="D118" s="2">
        <f t="shared" si="1"/>
        <v>8.656549609611023</v>
      </c>
      <c r="E118" t="s">
        <v>532</v>
      </c>
      <c r="F118" t="s">
        <v>533</v>
      </c>
      <c r="G118">
        <v>2014</v>
      </c>
      <c r="H118" t="s">
        <v>47</v>
      </c>
      <c r="I118" t="s">
        <v>42</v>
      </c>
      <c r="J118">
        <v>102</v>
      </c>
      <c r="K118" t="s">
        <v>534</v>
      </c>
      <c r="L118" t="s">
        <v>535</v>
      </c>
      <c r="M118">
        <v>187844</v>
      </c>
      <c r="N118">
        <v>953127</v>
      </c>
      <c r="O118" s="1">
        <v>0.48299999999999998</v>
      </c>
      <c r="P118" s="1">
        <v>0.40899999999999997</v>
      </c>
      <c r="Q118" s="1">
        <v>0.10100000000000001</v>
      </c>
      <c r="R118" s="1">
        <v>6.0000000000000001E-3</v>
      </c>
      <c r="S118" s="1">
        <v>1E-3</v>
      </c>
    </row>
    <row r="119" spans="1:19" x14ac:dyDescent="0.3">
      <c r="A119">
        <v>118</v>
      </c>
      <c r="B119" t="s">
        <v>536</v>
      </c>
      <c r="C119">
        <v>8.9</v>
      </c>
      <c r="D119" s="2">
        <f t="shared" si="1"/>
        <v>8.8126221450435622</v>
      </c>
      <c r="E119" t="s">
        <v>537</v>
      </c>
      <c r="F119" t="s">
        <v>538</v>
      </c>
      <c r="G119">
        <v>2004</v>
      </c>
      <c r="H119" t="s">
        <v>21</v>
      </c>
      <c r="I119" t="s">
        <v>27</v>
      </c>
      <c r="J119">
        <v>80</v>
      </c>
      <c r="K119" t="s">
        <v>504</v>
      </c>
      <c r="L119" t="s">
        <v>504</v>
      </c>
      <c r="M119">
        <v>126774</v>
      </c>
      <c r="N119">
        <v>518616</v>
      </c>
      <c r="O119" s="1">
        <v>0.55700000000000005</v>
      </c>
      <c r="P119" s="1">
        <v>0.34300000000000003</v>
      </c>
      <c r="Q119" s="1">
        <v>8.7999999999999995E-2</v>
      </c>
      <c r="R119" s="1">
        <v>8.0000000000000002E-3</v>
      </c>
      <c r="S119" s="1">
        <v>3.0000000000000001E-3</v>
      </c>
    </row>
    <row r="120" spans="1:19" x14ac:dyDescent="0.3">
      <c r="A120">
        <v>119</v>
      </c>
      <c r="B120" t="s">
        <v>539</v>
      </c>
      <c r="C120">
        <v>9.1</v>
      </c>
      <c r="D120" s="2">
        <f t="shared" si="1"/>
        <v>8.9351788074480325</v>
      </c>
      <c r="E120" t="s">
        <v>540</v>
      </c>
      <c r="F120" t="s">
        <v>541</v>
      </c>
      <c r="G120">
        <v>1993</v>
      </c>
      <c r="H120" t="s">
        <v>21</v>
      </c>
      <c r="I120" t="s">
        <v>22</v>
      </c>
      <c r="J120">
        <v>138</v>
      </c>
      <c r="K120" t="s">
        <v>542</v>
      </c>
      <c r="L120" t="s">
        <v>543</v>
      </c>
      <c r="M120">
        <v>73653</v>
      </c>
      <c r="N120">
        <v>293527</v>
      </c>
      <c r="O120" s="1">
        <v>0.63800000000000001</v>
      </c>
      <c r="P120" s="1">
        <v>0.30199999999999999</v>
      </c>
      <c r="Q120" s="1">
        <v>5.3999999999999999E-2</v>
      </c>
      <c r="R120" s="1">
        <v>4.0000000000000001E-3</v>
      </c>
      <c r="S120" s="1">
        <v>1E-3</v>
      </c>
    </row>
    <row r="121" spans="1:19" x14ac:dyDescent="0.3">
      <c r="A121">
        <v>120</v>
      </c>
      <c r="B121" t="s">
        <v>544</v>
      </c>
      <c r="C121">
        <v>9.1</v>
      </c>
      <c r="D121" s="2">
        <f t="shared" si="1"/>
        <v>8.937290026653443</v>
      </c>
      <c r="E121" t="s">
        <v>545</v>
      </c>
      <c r="F121" t="s">
        <v>546</v>
      </c>
      <c r="G121">
        <v>2004</v>
      </c>
      <c r="H121" t="s">
        <v>21</v>
      </c>
      <c r="J121">
        <v>141</v>
      </c>
      <c r="K121" t="s">
        <v>547</v>
      </c>
      <c r="L121" t="s">
        <v>547</v>
      </c>
      <c r="M121">
        <v>88382</v>
      </c>
      <c r="N121">
        <v>297660</v>
      </c>
      <c r="O121" s="1">
        <v>0.626</v>
      </c>
      <c r="P121" s="1">
        <v>0.32</v>
      </c>
      <c r="Q121" s="1">
        <v>4.9000000000000002E-2</v>
      </c>
      <c r="R121" s="1">
        <v>4.0000000000000001E-3</v>
      </c>
      <c r="S121" s="1">
        <v>2E-3</v>
      </c>
    </row>
    <row r="122" spans="1:19" x14ac:dyDescent="0.3">
      <c r="A122">
        <v>121</v>
      </c>
      <c r="B122" t="s">
        <v>548</v>
      </c>
      <c r="C122">
        <v>8.6999999999999993</v>
      </c>
      <c r="D122" s="2">
        <f t="shared" si="1"/>
        <v>8.6528464647607759</v>
      </c>
      <c r="E122" t="s">
        <v>549</v>
      </c>
      <c r="F122" t="s">
        <v>550</v>
      </c>
      <c r="G122">
        <v>2014</v>
      </c>
      <c r="H122" t="s">
        <v>21</v>
      </c>
      <c r="I122" t="s">
        <v>117</v>
      </c>
      <c r="J122">
        <v>149</v>
      </c>
      <c r="K122" t="s">
        <v>297</v>
      </c>
      <c r="L122" t="s">
        <v>551</v>
      </c>
      <c r="M122">
        <v>231426</v>
      </c>
      <c r="N122">
        <v>876311</v>
      </c>
      <c r="O122" s="1">
        <v>0.47799999999999998</v>
      </c>
      <c r="P122" s="1">
        <v>0.42699999999999999</v>
      </c>
      <c r="Q122" s="1">
        <v>8.6999999999999994E-2</v>
      </c>
      <c r="R122" s="1">
        <v>6.0000000000000001E-3</v>
      </c>
      <c r="S122" s="1">
        <v>2E-3</v>
      </c>
    </row>
    <row r="123" spans="1:19" x14ac:dyDescent="0.3">
      <c r="A123">
        <v>122</v>
      </c>
      <c r="B123" t="s">
        <v>552</v>
      </c>
      <c r="C123">
        <v>8.9</v>
      </c>
      <c r="D123" s="2">
        <f t="shared" si="1"/>
        <v>8.8097666660967739</v>
      </c>
      <c r="E123" t="s">
        <v>553</v>
      </c>
      <c r="F123" t="s">
        <v>554</v>
      </c>
      <c r="G123">
        <v>1996</v>
      </c>
      <c r="H123" t="s">
        <v>21</v>
      </c>
      <c r="I123" t="s">
        <v>27</v>
      </c>
      <c r="J123">
        <v>118</v>
      </c>
      <c r="K123" t="s">
        <v>555</v>
      </c>
      <c r="L123" t="s">
        <v>556</v>
      </c>
      <c r="M123">
        <v>123114</v>
      </c>
      <c r="N123">
        <v>501413</v>
      </c>
      <c r="O123" s="1">
        <v>0.54100000000000004</v>
      </c>
      <c r="P123" s="1">
        <v>0.374</v>
      </c>
      <c r="Q123" s="1">
        <v>0.08</v>
      </c>
      <c r="R123" s="1">
        <v>4.0000000000000001E-3</v>
      </c>
      <c r="S123" s="1">
        <v>1E-3</v>
      </c>
    </row>
    <row r="124" spans="1:19" x14ac:dyDescent="0.3">
      <c r="A124">
        <v>123</v>
      </c>
      <c r="B124" t="s">
        <v>557</v>
      </c>
      <c r="C124">
        <v>8.9</v>
      </c>
      <c r="D124" s="2">
        <f t="shared" si="1"/>
        <v>8.8126234309007696</v>
      </c>
      <c r="E124" t="s">
        <v>558</v>
      </c>
      <c r="F124" t="s">
        <v>559</v>
      </c>
      <c r="G124">
        <v>2010</v>
      </c>
      <c r="H124" t="s">
        <v>53</v>
      </c>
      <c r="I124" t="s">
        <v>146</v>
      </c>
      <c r="J124">
        <v>94</v>
      </c>
      <c r="K124" t="s">
        <v>560</v>
      </c>
      <c r="L124" t="s">
        <v>54</v>
      </c>
      <c r="M124">
        <v>105418</v>
      </c>
      <c r="N124">
        <v>518624</v>
      </c>
      <c r="O124" s="1">
        <v>0.53300000000000003</v>
      </c>
      <c r="P124" s="1">
        <v>0.38200000000000001</v>
      </c>
      <c r="Q124" s="1">
        <v>8.1000000000000003E-2</v>
      </c>
      <c r="R124" s="1">
        <v>4.0000000000000001E-3</v>
      </c>
      <c r="S124" s="1">
        <v>1E-3</v>
      </c>
    </row>
    <row r="125" spans="1:19" x14ac:dyDescent="0.3">
      <c r="A125">
        <v>124</v>
      </c>
      <c r="B125" t="s">
        <v>561</v>
      </c>
      <c r="C125">
        <v>8.8000000000000007</v>
      </c>
      <c r="D125" s="2">
        <f t="shared" si="1"/>
        <v>8.7372185297416749</v>
      </c>
      <c r="E125" t="s">
        <v>562</v>
      </c>
      <c r="F125" t="s">
        <v>563</v>
      </c>
      <c r="G125">
        <v>1987</v>
      </c>
      <c r="H125" t="s">
        <v>27</v>
      </c>
      <c r="I125" t="s">
        <v>146</v>
      </c>
      <c r="J125">
        <v>98</v>
      </c>
      <c r="K125" t="s">
        <v>564</v>
      </c>
      <c r="L125" t="s">
        <v>565</v>
      </c>
      <c r="M125">
        <v>105255</v>
      </c>
      <c r="N125">
        <v>691772</v>
      </c>
      <c r="O125" s="1">
        <v>0.48599999999999999</v>
      </c>
      <c r="P125" s="1">
        <v>0.41599999999999998</v>
      </c>
      <c r="Q125" s="1">
        <v>9.2999999999999999E-2</v>
      </c>
      <c r="R125" s="1">
        <v>4.0000000000000001E-3</v>
      </c>
      <c r="S125" s="1">
        <v>1E-3</v>
      </c>
    </row>
    <row r="126" spans="1:19" x14ac:dyDescent="0.3">
      <c r="A126">
        <v>125</v>
      </c>
      <c r="B126" t="s">
        <v>566</v>
      </c>
      <c r="C126">
        <v>9</v>
      </c>
      <c r="D126" s="2">
        <f t="shared" si="1"/>
        <v>8.8698807847750114</v>
      </c>
      <c r="E126" t="s">
        <v>567</v>
      </c>
      <c r="F126" t="s">
        <v>568</v>
      </c>
      <c r="G126">
        <v>2015</v>
      </c>
      <c r="H126" t="s">
        <v>21</v>
      </c>
      <c r="J126">
        <v>120</v>
      </c>
      <c r="K126" t="s">
        <v>527</v>
      </c>
      <c r="L126" t="s">
        <v>527</v>
      </c>
      <c r="M126">
        <v>85890</v>
      </c>
      <c r="N126">
        <v>359263</v>
      </c>
      <c r="O126" s="1">
        <v>0.60399999999999998</v>
      </c>
      <c r="P126" s="1">
        <v>0.32100000000000001</v>
      </c>
      <c r="Q126" s="1">
        <v>6.8000000000000005E-2</v>
      </c>
      <c r="R126" s="1">
        <v>5.0000000000000001E-3</v>
      </c>
      <c r="S126" s="1">
        <v>2E-3</v>
      </c>
    </row>
    <row r="127" spans="1:19" x14ac:dyDescent="0.3">
      <c r="A127">
        <v>126</v>
      </c>
      <c r="B127" t="s">
        <v>569</v>
      </c>
      <c r="C127">
        <v>8.9</v>
      </c>
      <c r="D127" s="2">
        <f t="shared" si="1"/>
        <v>8.7967263334804535</v>
      </c>
      <c r="E127" t="s">
        <v>570</v>
      </c>
      <c r="F127" t="s">
        <v>571</v>
      </c>
      <c r="G127">
        <v>1995</v>
      </c>
      <c r="H127" t="s">
        <v>21</v>
      </c>
      <c r="I127" t="s">
        <v>27</v>
      </c>
      <c r="J127">
        <v>111</v>
      </c>
      <c r="K127" t="s">
        <v>572</v>
      </c>
      <c r="L127" t="s">
        <v>54</v>
      </c>
      <c r="M127">
        <v>98843</v>
      </c>
      <c r="N127">
        <v>434943</v>
      </c>
      <c r="O127" s="1">
        <v>0.55900000000000005</v>
      </c>
      <c r="P127" s="1">
        <v>0.35299999999999998</v>
      </c>
      <c r="Q127" s="1">
        <v>8.3000000000000004E-2</v>
      </c>
      <c r="R127" s="1">
        <v>5.0000000000000001E-3</v>
      </c>
      <c r="S127" s="1">
        <v>1E-3</v>
      </c>
    </row>
    <row r="128" spans="1:19" x14ac:dyDescent="0.3">
      <c r="A128">
        <v>127</v>
      </c>
      <c r="B128" t="s">
        <v>573</v>
      </c>
      <c r="C128">
        <v>8.8000000000000007</v>
      </c>
      <c r="D128" s="2">
        <f t="shared" si="1"/>
        <v>8.7297407433429353</v>
      </c>
      <c r="E128" t="s">
        <v>574</v>
      </c>
      <c r="F128" t="s">
        <v>575</v>
      </c>
      <c r="G128">
        <v>2013</v>
      </c>
      <c r="H128" t="s">
        <v>47</v>
      </c>
      <c r="I128" t="s">
        <v>27</v>
      </c>
      <c r="J128">
        <v>123</v>
      </c>
      <c r="K128" t="s">
        <v>576</v>
      </c>
      <c r="L128" t="s">
        <v>576</v>
      </c>
      <c r="M128">
        <v>167471</v>
      </c>
      <c r="N128">
        <v>615485</v>
      </c>
      <c r="O128" s="1">
        <v>0.51900000000000002</v>
      </c>
      <c r="P128" s="1">
        <v>0.371</v>
      </c>
      <c r="Q128" s="1">
        <v>0.10100000000000001</v>
      </c>
      <c r="R128" s="1">
        <v>7.0000000000000001E-3</v>
      </c>
      <c r="S128" s="1">
        <v>2E-3</v>
      </c>
    </row>
    <row r="129" spans="1:19" x14ac:dyDescent="0.3">
      <c r="A129">
        <v>128</v>
      </c>
      <c r="B129" t="s">
        <v>577</v>
      </c>
      <c r="C129">
        <v>8.8000000000000007</v>
      </c>
      <c r="D129" s="2">
        <f t="shared" si="1"/>
        <v>8.7192223807856966</v>
      </c>
      <c r="E129" t="s">
        <v>578</v>
      </c>
      <c r="F129" t="s">
        <v>579</v>
      </c>
      <c r="G129">
        <v>2004</v>
      </c>
      <c r="H129" t="s">
        <v>21</v>
      </c>
      <c r="I129" t="s">
        <v>47</v>
      </c>
      <c r="J129">
        <v>128</v>
      </c>
      <c r="K129" t="s">
        <v>59</v>
      </c>
      <c r="L129" t="s">
        <v>79</v>
      </c>
      <c r="M129">
        <v>98406</v>
      </c>
      <c r="N129">
        <v>532085</v>
      </c>
      <c r="O129" s="1">
        <v>0.51800000000000002</v>
      </c>
      <c r="P129" s="1">
        <v>0.39100000000000001</v>
      </c>
      <c r="Q129" s="1">
        <v>8.4000000000000005E-2</v>
      </c>
      <c r="R129" s="1">
        <v>5.0000000000000001E-3</v>
      </c>
      <c r="S129" s="1">
        <v>1E-3</v>
      </c>
    </row>
    <row r="130" spans="1:19" x14ac:dyDescent="0.3">
      <c r="A130">
        <v>129</v>
      </c>
      <c r="B130" t="s">
        <v>580</v>
      </c>
      <c r="C130">
        <v>8.8000000000000007</v>
      </c>
      <c r="D130" s="2">
        <f t="shared" ref="D130:D193" si="2">(N130/(N130+25000))*C130+(25000/(N130+25000))*7</f>
        <v>8.7391556425705001</v>
      </c>
      <c r="E130" t="s">
        <v>581</v>
      </c>
      <c r="F130" t="s">
        <v>582</v>
      </c>
      <c r="G130">
        <v>2010</v>
      </c>
      <c r="H130" t="s">
        <v>53</v>
      </c>
      <c r="I130" t="s">
        <v>146</v>
      </c>
      <c r="J130">
        <v>98</v>
      </c>
      <c r="K130" t="s">
        <v>583</v>
      </c>
      <c r="L130" t="s">
        <v>584</v>
      </c>
      <c r="M130">
        <v>116725</v>
      </c>
      <c r="N130">
        <v>714592</v>
      </c>
      <c r="O130" s="1">
        <v>0.48499999999999999</v>
      </c>
      <c r="P130" s="1">
        <v>0.41399999999999998</v>
      </c>
      <c r="Q130" s="1">
        <v>9.6000000000000002E-2</v>
      </c>
      <c r="R130" s="1">
        <v>4.0000000000000001E-3</v>
      </c>
      <c r="S130" s="1">
        <v>1E-3</v>
      </c>
    </row>
    <row r="131" spans="1:19" x14ac:dyDescent="0.3">
      <c r="A131">
        <v>130</v>
      </c>
      <c r="B131" t="s">
        <v>585</v>
      </c>
      <c r="C131">
        <v>8.9</v>
      </c>
      <c r="D131" s="2">
        <f t="shared" si="2"/>
        <v>8.8095959605571945</v>
      </c>
      <c r="E131" t="s">
        <v>586</v>
      </c>
      <c r="F131" t="s">
        <v>587</v>
      </c>
      <c r="G131">
        <v>2011</v>
      </c>
      <c r="H131" t="s">
        <v>21</v>
      </c>
      <c r="I131" t="s">
        <v>27</v>
      </c>
      <c r="J131">
        <v>45</v>
      </c>
      <c r="K131" t="s">
        <v>588</v>
      </c>
      <c r="L131" t="s">
        <v>589</v>
      </c>
      <c r="M131">
        <v>110974</v>
      </c>
      <c r="N131">
        <v>500419</v>
      </c>
      <c r="O131" s="1">
        <v>0.55000000000000004</v>
      </c>
      <c r="P131" s="1">
        <v>0.34399999999999997</v>
      </c>
      <c r="Q131" s="1">
        <v>9.6000000000000002E-2</v>
      </c>
      <c r="R131" s="1">
        <v>8.0000000000000002E-3</v>
      </c>
      <c r="S131" s="1">
        <v>2E-3</v>
      </c>
    </row>
    <row r="132" spans="1:19" x14ac:dyDescent="0.3">
      <c r="A132">
        <v>131</v>
      </c>
      <c r="B132" t="s">
        <v>590</v>
      </c>
      <c r="C132">
        <v>8.8000000000000007</v>
      </c>
      <c r="D132" s="2">
        <f t="shared" si="2"/>
        <v>8.765866812301601</v>
      </c>
      <c r="F132" t="s">
        <v>591</v>
      </c>
      <c r="G132">
        <v>2019</v>
      </c>
      <c r="H132" t="s">
        <v>21</v>
      </c>
      <c r="J132">
        <v>132</v>
      </c>
      <c r="K132" t="s">
        <v>440</v>
      </c>
      <c r="L132" t="s">
        <v>440</v>
      </c>
      <c r="M132">
        <v>341367</v>
      </c>
      <c r="N132">
        <v>1293365</v>
      </c>
      <c r="O132" s="1">
        <v>0.49099999999999999</v>
      </c>
      <c r="P132" s="1">
        <v>0.41899999999999998</v>
      </c>
      <c r="Q132" s="1">
        <v>8.1000000000000003E-2</v>
      </c>
      <c r="R132" s="1">
        <v>6.0000000000000001E-3</v>
      </c>
      <c r="S132" s="1">
        <v>3.0000000000000001E-3</v>
      </c>
    </row>
    <row r="133" spans="1:19" x14ac:dyDescent="0.3">
      <c r="A133">
        <v>132</v>
      </c>
      <c r="B133" t="s">
        <v>592</v>
      </c>
      <c r="C133">
        <v>9</v>
      </c>
      <c r="D133" s="2">
        <f t="shared" si="2"/>
        <v>8.8657721724236964</v>
      </c>
      <c r="E133" t="s">
        <v>593</v>
      </c>
      <c r="F133" t="s">
        <v>594</v>
      </c>
      <c r="G133">
        <v>1990</v>
      </c>
      <c r="H133" t="s">
        <v>21</v>
      </c>
      <c r="I133" t="s">
        <v>22</v>
      </c>
      <c r="J133">
        <v>162</v>
      </c>
      <c r="K133" t="s">
        <v>127</v>
      </c>
      <c r="L133" t="s">
        <v>128</v>
      </c>
      <c r="M133">
        <v>45974</v>
      </c>
      <c r="N133">
        <v>347501</v>
      </c>
      <c r="O133" s="1">
        <v>0.59</v>
      </c>
      <c r="P133" s="1">
        <v>0.32800000000000001</v>
      </c>
      <c r="Q133" s="1">
        <v>7.4999999999999997E-2</v>
      </c>
      <c r="R133" s="1">
        <v>5.0000000000000001E-3</v>
      </c>
      <c r="S133" s="1">
        <v>2E-3</v>
      </c>
    </row>
    <row r="134" spans="1:19" x14ac:dyDescent="0.3">
      <c r="A134">
        <v>133</v>
      </c>
      <c r="B134" t="s">
        <v>595</v>
      </c>
      <c r="C134">
        <v>8.8000000000000007</v>
      </c>
      <c r="D134" s="2">
        <f t="shared" si="2"/>
        <v>8.7310114337050546</v>
      </c>
      <c r="E134" t="s">
        <v>596</v>
      </c>
      <c r="F134" t="s">
        <v>597</v>
      </c>
      <c r="G134">
        <v>2001</v>
      </c>
      <c r="H134" t="s">
        <v>47</v>
      </c>
      <c r="I134" t="s">
        <v>53</v>
      </c>
      <c r="J134">
        <v>92</v>
      </c>
      <c r="K134" t="s">
        <v>188</v>
      </c>
      <c r="L134" t="s">
        <v>94</v>
      </c>
      <c r="M134">
        <v>81040</v>
      </c>
      <c r="N134">
        <v>627282</v>
      </c>
      <c r="O134" s="1">
        <v>0.48499999999999999</v>
      </c>
      <c r="P134" s="1">
        <v>0.41599999999999998</v>
      </c>
      <c r="Q134" s="1">
        <v>9.4E-2</v>
      </c>
      <c r="R134" s="1">
        <v>4.0000000000000001E-3</v>
      </c>
      <c r="S134" s="1">
        <v>1E-3</v>
      </c>
    </row>
    <row r="135" spans="1:19" x14ac:dyDescent="0.3">
      <c r="A135">
        <v>134</v>
      </c>
      <c r="B135" t="s">
        <v>598</v>
      </c>
      <c r="C135">
        <v>8.9</v>
      </c>
      <c r="D135" s="2">
        <f t="shared" si="2"/>
        <v>8.7967804182674758</v>
      </c>
      <c r="E135" t="s">
        <v>599</v>
      </c>
      <c r="F135" t="s">
        <v>600</v>
      </c>
      <c r="G135">
        <v>2015</v>
      </c>
      <c r="H135" t="s">
        <v>21</v>
      </c>
      <c r="J135">
        <v>116</v>
      </c>
      <c r="K135" t="s">
        <v>601</v>
      </c>
      <c r="L135" t="s">
        <v>601</v>
      </c>
      <c r="M135">
        <v>120810</v>
      </c>
      <c r="N135">
        <v>435184</v>
      </c>
      <c r="O135" s="1">
        <v>0.54100000000000004</v>
      </c>
      <c r="P135" s="1">
        <v>0.379</v>
      </c>
      <c r="Q135" s="1">
        <v>7.4999999999999997E-2</v>
      </c>
      <c r="R135" s="1">
        <v>5.0000000000000001E-3</v>
      </c>
      <c r="S135" s="1">
        <v>1E-3</v>
      </c>
    </row>
    <row r="136" spans="1:19" x14ac:dyDescent="0.3">
      <c r="A136">
        <v>135</v>
      </c>
      <c r="B136" t="s">
        <v>602</v>
      </c>
      <c r="C136">
        <v>8.9</v>
      </c>
      <c r="D136" s="2">
        <f t="shared" si="2"/>
        <v>8.7898157254996558</v>
      </c>
      <c r="E136" t="s">
        <v>603</v>
      </c>
      <c r="F136" t="s">
        <v>604</v>
      </c>
      <c r="G136">
        <v>2009</v>
      </c>
      <c r="H136" t="s">
        <v>21</v>
      </c>
      <c r="I136" t="s">
        <v>47</v>
      </c>
      <c r="J136">
        <v>92</v>
      </c>
      <c r="K136" t="s">
        <v>605</v>
      </c>
      <c r="L136" t="s">
        <v>605</v>
      </c>
      <c r="M136">
        <v>112571</v>
      </c>
      <c r="N136">
        <v>406096</v>
      </c>
      <c r="O136" s="1">
        <v>0.57599999999999996</v>
      </c>
      <c r="P136" s="1">
        <v>0.33400000000000002</v>
      </c>
      <c r="Q136" s="1">
        <v>8.1000000000000003E-2</v>
      </c>
      <c r="R136" s="1">
        <v>7.0000000000000001E-3</v>
      </c>
      <c r="S136" s="1">
        <v>2E-3</v>
      </c>
    </row>
    <row r="137" spans="1:19" x14ac:dyDescent="0.3">
      <c r="A137">
        <v>136</v>
      </c>
      <c r="B137" t="s">
        <v>606</v>
      </c>
      <c r="C137">
        <v>9.1</v>
      </c>
      <c r="D137" s="2">
        <f t="shared" si="2"/>
        <v>8.9398599308194893</v>
      </c>
      <c r="E137" t="s">
        <v>607</v>
      </c>
      <c r="F137" t="s">
        <v>608</v>
      </c>
      <c r="G137">
        <v>1997</v>
      </c>
      <c r="H137" t="s">
        <v>53</v>
      </c>
      <c r="I137" t="s">
        <v>103</v>
      </c>
      <c r="J137">
        <v>81</v>
      </c>
      <c r="K137" t="s">
        <v>444</v>
      </c>
      <c r="L137" t="s">
        <v>609</v>
      </c>
      <c r="M137">
        <v>80629</v>
      </c>
      <c r="N137">
        <v>302838</v>
      </c>
      <c r="O137" s="1">
        <v>0.60899999999999999</v>
      </c>
      <c r="P137" s="1">
        <v>0.32</v>
      </c>
      <c r="Q137" s="1">
        <v>6.4000000000000001E-2</v>
      </c>
      <c r="R137" s="1">
        <v>5.0000000000000001E-3</v>
      </c>
      <c r="S137" s="1">
        <v>2E-3</v>
      </c>
    </row>
    <row r="138" spans="1:19" x14ac:dyDescent="0.3">
      <c r="A138">
        <v>137</v>
      </c>
      <c r="B138" t="s">
        <v>610</v>
      </c>
      <c r="C138">
        <v>8.9</v>
      </c>
      <c r="D138" s="2">
        <f t="shared" si="2"/>
        <v>8.8063779296316813</v>
      </c>
      <c r="E138" t="s">
        <v>611</v>
      </c>
      <c r="F138" t="s">
        <v>612</v>
      </c>
      <c r="G138">
        <v>2010</v>
      </c>
      <c r="H138" t="s">
        <v>47</v>
      </c>
      <c r="I138" t="s">
        <v>53</v>
      </c>
      <c r="J138">
        <v>103</v>
      </c>
      <c r="K138" t="s">
        <v>155</v>
      </c>
      <c r="L138" t="s">
        <v>613</v>
      </c>
      <c r="M138">
        <v>84533</v>
      </c>
      <c r="N138">
        <v>482359</v>
      </c>
      <c r="O138" s="1">
        <v>0.54500000000000004</v>
      </c>
      <c r="P138" s="1">
        <v>0.36</v>
      </c>
      <c r="Q138" s="1">
        <v>0.09</v>
      </c>
      <c r="R138" s="1">
        <v>4.0000000000000001E-3</v>
      </c>
      <c r="S138" s="1">
        <v>1E-3</v>
      </c>
    </row>
    <row r="139" spans="1:19" x14ac:dyDescent="0.3">
      <c r="A139">
        <v>138</v>
      </c>
      <c r="B139" t="s">
        <v>614</v>
      </c>
      <c r="C139">
        <v>8.6999999999999993</v>
      </c>
      <c r="D139" s="2">
        <f t="shared" si="2"/>
        <v>8.6448621228731373</v>
      </c>
      <c r="E139" t="s">
        <v>615</v>
      </c>
      <c r="F139" t="s">
        <v>616</v>
      </c>
      <c r="G139">
        <v>2005</v>
      </c>
      <c r="H139" t="s">
        <v>21</v>
      </c>
      <c r="I139" t="s">
        <v>27</v>
      </c>
      <c r="J139">
        <v>129</v>
      </c>
      <c r="K139" t="s">
        <v>617</v>
      </c>
      <c r="L139" t="s">
        <v>618</v>
      </c>
      <c r="M139">
        <v>162449</v>
      </c>
      <c r="N139">
        <v>745795</v>
      </c>
      <c r="O139" s="1">
        <v>0.47399999999999998</v>
      </c>
      <c r="P139" s="1">
        <v>0.40799999999999997</v>
      </c>
      <c r="Q139" s="1">
        <v>0.109</v>
      </c>
      <c r="R139" s="1">
        <v>8.0000000000000002E-3</v>
      </c>
      <c r="S139" s="1">
        <v>2E-3</v>
      </c>
    </row>
    <row r="140" spans="1:19" x14ac:dyDescent="0.3">
      <c r="A140">
        <v>139</v>
      </c>
      <c r="B140" t="s">
        <v>619</v>
      </c>
      <c r="C140">
        <v>8.6</v>
      </c>
      <c r="D140" s="2">
        <f t="shared" si="2"/>
        <v>8.5567427741507789</v>
      </c>
      <c r="E140" t="s">
        <v>620</v>
      </c>
      <c r="F140" t="s">
        <v>621</v>
      </c>
      <c r="G140">
        <v>2010</v>
      </c>
      <c r="H140" t="s">
        <v>47</v>
      </c>
      <c r="I140" t="s">
        <v>53</v>
      </c>
      <c r="J140">
        <v>95</v>
      </c>
      <c r="K140" t="s">
        <v>622</v>
      </c>
      <c r="L140" t="s">
        <v>623</v>
      </c>
      <c r="M140">
        <v>133204</v>
      </c>
      <c r="N140">
        <v>899701</v>
      </c>
      <c r="O140" s="1">
        <v>0.44400000000000001</v>
      </c>
      <c r="P140" s="1">
        <v>0.441</v>
      </c>
      <c r="Q140" s="1">
        <v>0.108</v>
      </c>
      <c r="R140" s="1">
        <v>5.0000000000000001E-3</v>
      </c>
      <c r="S140" s="1">
        <v>1E-3</v>
      </c>
    </row>
    <row r="141" spans="1:19" x14ac:dyDescent="0.3">
      <c r="A141">
        <v>140</v>
      </c>
      <c r="B141" t="s">
        <v>624</v>
      </c>
      <c r="C141">
        <v>8.8000000000000007</v>
      </c>
      <c r="D141" s="2">
        <f t="shared" si="2"/>
        <v>8.7204172259567194</v>
      </c>
      <c r="E141" t="s">
        <v>625</v>
      </c>
      <c r="F141" t="s">
        <v>626</v>
      </c>
      <c r="G141">
        <v>2003</v>
      </c>
      <c r="H141" t="s">
        <v>21</v>
      </c>
      <c r="I141" t="s">
        <v>132</v>
      </c>
      <c r="J141">
        <v>125</v>
      </c>
      <c r="K141" t="s">
        <v>471</v>
      </c>
      <c r="L141" t="s">
        <v>627</v>
      </c>
      <c r="M141">
        <v>119358</v>
      </c>
      <c r="N141">
        <v>540449</v>
      </c>
      <c r="O141" s="1">
        <v>0.51800000000000002</v>
      </c>
      <c r="P141" s="1">
        <v>0.374</v>
      </c>
      <c r="Q141" s="1">
        <v>9.7000000000000003E-2</v>
      </c>
      <c r="R141" s="1">
        <v>8.0000000000000002E-3</v>
      </c>
      <c r="S141" s="1">
        <v>2E-3</v>
      </c>
    </row>
    <row r="142" spans="1:19" x14ac:dyDescent="0.3">
      <c r="A142">
        <v>141</v>
      </c>
      <c r="B142" t="s">
        <v>628</v>
      </c>
      <c r="C142">
        <v>8.6</v>
      </c>
      <c r="D142" s="2">
        <f t="shared" si="2"/>
        <v>8.5652975389014578</v>
      </c>
      <c r="E142" t="s">
        <v>629</v>
      </c>
      <c r="F142" t="s">
        <v>630</v>
      </c>
      <c r="G142">
        <v>2016</v>
      </c>
      <c r="H142" t="s">
        <v>42</v>
      </c>
      <c r="I142" t="s">
        <v>103</v>
      </c>
      <c r="J142">
        <v>118</v>
      </c>
      <c r="K142" t="s">
        <v>631</v>
      </c>
      <c r="L142" t="s">
        <v>631</v>
      </c>
      <c r="M142">
        <v>254024</v>
      </c>
      <c r="N142">
        <v>1127656</v>
      </c>
      <c r="O142" s="1">
        <v>0.432</v>
      </c>
      <c r="P142" s="1">
        <v>0.44600000000000001</v>
      </c>
      <c r="Q142" s="1">
        <v>0.111</v>
      </c>
      <c r="R142" s="1">
        <v>8.0000000000000002E-3</v>
      </c>
      <c r="S142" s="1">
        <v>3.0000000000000001E-3</v>
      </c>
    </row>
    <row r="143" spans="1:19" x14ac:dyDescent="0.3">
      <c r="A143">
        <v>142</v>
      </c>
      <c r="B143" t="s">
        <v>632</v>
      </c>
      <c r="C143">
        <v>8.8000000000000007</v>
      </c>
      <c r="D143" s="2">
        <f t="shared" si="2"/>
        <v>8.7325888142372428</v>
      </c>
      <c r="E143" t="s">
        <v>633</v>
      </c>
      <c r="F143" t="s">
        <v>634</v>
      </c>
      <c r="G143">
        <v>2010</v>
      </c>
      <c r="H143" t="s">
        <v>21</v>
      </c>
      <c r="I143" t="s">
        <v>117</v>
      </c>
      <c r="J143">
        <v>106</v>
      </c>
      <c r="K143" t="s">
        <v>458</v>
      </c>
      <c r="L143" t="s">
        <v>458</v>
      </c>
      <c r="M143">
        <v>177665</v>
      </c>
      <c r="N143">
        <v>642545</v>
      </c>
      <c r="O143" s="1">
        <v>0.51300000000000001</v>
      </c>
      <c r="P143" s="1">
        <v>0.374</v>
      </c>
      <c r="Q143" s="1">
        <v>9.7000000000000003E-2</v>
      </c>
      <c r="R143" s="1">
        <v>1.0999999999999999E-2</v>
      </c>
      <c r="S143" s="1">
        <v>5.0000000000000001E-3</v>
      </c>
    </row>
    <row r="144" spans="1:19" x14ac:dyDescent="0.3">
      <c r="A144">
        <v>143</v>
      </c>
      <c r="B144" t="s">
        <v>635</v>
      </c>
      <c r="C144">
        <v>8.8000000000000007</v>
      </c>
      <c r="D144" s="2">
        <f t="shared" si="2"/>
        <v>8.7247823703248084</v>
      </c>
      <c r="E144" t="s">
        <v>636</v>
      </c>
      <c r="F144" t="s">
        <v>637</v>
      </c>
      <c r="G144">
        <v>2012</v>
      </c>
      <c r="H144" t="s">
        <v>21</v>
      </c>
      <c r="I144" t="s">
        <v>42</v>
      </c>
      <c r="J144">
        <v>163</v>
      </c>
      <c r="K144" t="s">
        <v>402</v>
      </c>
      <c r="L144" t="s">
        <v>402</v>
      </c>
      <c r="M144">
        <v>132222</v>
      </c>
      <c r="N144">
        <v>573264</v>
      </c>
      <c r="O144" s="1">
        <v>0.505</v>
      </c>
      <c r="P144" s="1">
        <v>0.40100000000000002</v>
      </c>
      <c r="Q144" s="1">
        <v>8.6999999999999994E-2</v>
      </c>
      <c r="R144" s="1">
        <v>6.0000000000000001E-3</v>
      </c>
      <c r="S144" s="1">
        <v>2E-3</v>
      </c>
    </row>
    <row r="145" spans="1:19" x14ac:dyDescent="0.3">
      <c r="A145">
        <v>144</v>
      </c>
      <c r="B145" t="s">
        <v>638</v>
      </c>
      <c r="C145">
        <v>8.6999999999999993</v>
      </c>
      <c r="D145" s="2">
        <f t="shared" si="2"/>
        <v>8.6323156796700182</v>
      </c>
      <c r="F145" t="s">
        <v>639</v>
      </c>
      <c r="G145">
        <v>2005</v>
      </c>
      <c r="H145" t="s">
        <v>117</v>
      </c>
      <c r="I145" t="s">
        <v>146</v>
      </c>
      <c r="J145">
        <v>157</v>
      </c>
      <c r="K145" t="s">
        <v>640</v>
      </c>
      <c r="L145" t="s">
        <v>169</v>
      </c>
      <c r="M145">
        <v>63057</v>
      </c>
      <c r="N145">
        <v>602915</v>
      </c>
      <c r="O145" s="1">
        <v>0.49399999999999999</v>
      </c>
      <c r="P145" s="1">
        <v>0.39400000000000002</v>
      </c>
      <c r="Q145" s="1">
        <v>0.105</v>
      </c>
      <c r="R145" s="1">
        <v>6.0000000000000001E-3</v>
      </c>
      <c r="S145" s="1">
        <v>1E-3</v>
      </c>
    </row>
    <row r="146" spans="1:19" x14ac:dyDescent="0.3">
      <c r="A146">
        <v>145</v>
      </c>
      <c r="B146" t="s">
        <v>641</v>
      </c>
      <c r="C146">
        <v>8.8000000000000007</v>
      </c>
      <c r="D146" s="2">
        <f t="shared" si="2"/>
        <v>8.7241807732550214</v>
      </c>
      <c r="E146" t="s">
        <v>642</v>
      </c>
      <c r="F146" t="s">
        <v>643</v>
      </c>
      <c r="G146">
        <v>2011</v>
      </c>
      <c r="H146" t="s">
        <v>21</v>
      </c>
      <c r="I146" t="s">
        <v>47</v>
      </c>
      <c r="J146">
        <v>124</v>
      </c>
      <c r="K146" t="s">
        <v>644</v>
      </c>
      <c r="L146" t="s">
        <v>644</v>
      </c>
      <c r="M146">
        <v>141158</v>
      </c>
      <c r="N146">
        <v>568517</v>
      </c>
      <c r="O146" s="1">
        <v>0.51500000000000001</v>
      </c>
      <c r="P146" s="1">
        <v>0.379</v>
      </c>
      <c r="Q146" s="1">
        <v>9.6000000000000002E-2</v>
      </c>
      <c r="R146" s="1">
        <v>8.0000000000000002E-3</v>
      </c>
      <c r="S146" s="1">
        <v>2E-3</v>
      </c>
    </row>
    <row r="147" spans="1:19" x14ac:dyDescent="0.3">
      <c r="A147">
        <v>146</v>
      </c>
      <c r="B147" t="s">
        <v>645</v>
      </c>
      <c r="C147">
        <v>8.6999999999999993</v>
      </c>
      <c r="D147" s="2">
        <f t="shared" si="2"/>
        <v>8.6319414151701785</v>
      </c>
      <c r="E147" t="s">
        <v>646</v>
      </c>
      <c r="F147" t="s">
        <v>647</v>
      </c>
      <c r="G147">
        <v>1993</v>
      </c>
      <c r="H147" t="s">
        <v>47</v>
      </c>
      <c r="I147" t="s">
        <v>146</v>
      </c>
      <c r="J147">
        <v>113</v>
      </c>
      <c r="K147" t="s">
        <v>113</v>
      </c>
      <c r="L147" t="s">
        <v>113</v>
      </c>
      <c r="M147">
        <v>107517</v>
      </c>
      <c r="N147">
        <v>599462</v>
      </c>
      <c r="O147" s="1">
        <v>0.53300000000000003</v>
      </c>
      <c r="P147" s="1">
        <v>0.33300000000000002</v>
      </c>
      <c r="Q147" s="1">
        <v>0.113</v>
      </c>
      <c r="R147" s="1">
        <v>1.6E-2</v>
      </c>
      <c r="S147" s="1">
        <v>6.0000000000000001E-3</v>
      </c>
    </row>
    <row r="148" spans="1:19" x14ac:dyDescent="0.3">
      <c r="A148">
        <v>147</v>
      </c>
      <c r="B148" t="s">
        <v>648</v>
      </c>
      <c r="C148">
        <v>9.1</v>
      </c>
      <c r="D148" s="2">
        <f t="shared" si="2"/>
        <v>8.9033516372380834</v>
      </c>
      <c r="E148" t="s">
        <v>649</v>
      </c>
      <c r="F148" t="s">
        <v>650</v>
      </c>
      <c r="G148">
        <v>1979</v>
      </c>
      <c r="H148" t="s">
        <v>53</v>
      </c>
      <c r="I148" t="s">
        <v>146</v>
      </c>
      <c r="J148">
        <v>65</v>
      </c>
      <c r="K148" t="s">
        <v>651</v>
      </c>
      <c r="L148" t="s">
        <v>651</v>
      </c>
      <c r="M148">
        <v>32940</v>
      </c>
      <c r="N148">
        <v>241974</v>
      </c>
      <c r="O148" s="1">
        <v>0.64900000000000002</v>
      </c>
      <c r="P148" s="1">
        <v>0.28399999999999997</v>
      </c>
      <c r="Q148" s="1">
        <v>6.3E-2</v>
      </c>
      <c r="R148" s="1">
        <v>4.0000000000000001E-3</v>
      </c>
      <c r="S148" s="1">
        <v>1E-3</v>
      </c>
    </row>
    <row r="149" spans="1:19" x14ac:dyDescent="0.3">
      <c r="A149">
        <v>148</v>
      </c>
      <c r="B149" t="s">
        <v>652</v>
      </c>
      <c r="C149">
        <v>8.9</v>
      </c>
      <c r="D149" s="2">
        <f t="shared" si="2"/>
        <v>8.7849845516092486</v>
      </c>
      <c r="E149" t="s">
        <v>653</v>
      </c>
      <c r="F149" t="s">
        <v>654</v>
      </c>
      <c r="G149">
        <v>2013</v>
      </c>
      <c r="H149" t="s">
        <v>21</v>
      </c>
      <c r="I149" t="s">
        <v>22</v>
      </c>
      <c r="J149">
        <v>134</v>
      </c>
      <c r="K149" t="s">
        <v>655</v>
      </c>
      <c r="L149" t="s">
        <v>655</v>
      </c>
      <c r="M149">
        <v>93308</v>
      </c>
      <c r="N149">
        <v>387988</v>
      </c>
      <c r="O149" s="1">
        <v>0.54100000000000004</v>
      </c>
      <c r="P149" s="1">
        <v>0.376</v>
      </c>
      <c r="Q149" s="1">
        <v>7.6999999999999999E-2</v>
      </c>
      <c r="R149" s="1">
        <v>5.0000000000000001E-3</v>
      </c>
      <c r="S149" s="1">
        <v>2E-3</v>
      </c>
    </row>
    <row r="150" spans="1:19" x14ac:dyDescent="0.3">
      <c r="A150">
        <v>149</v>
      </c>
      <c r="B150" t="s">
        <v>656</v>
      </c>
      <c r="C150">
        <v>9</v>
      </c>
      <c r="D150" s="2">
        <f t="shared" si="2"/>
        <v>8.8542002006205234</v>
      </c>
      <c r="E150" t="s">
        <v>657</v>
      </c>
      <c r="F150" t="s">
        <v>658</v>
      </c>
      <c r="G150">
        <v>2001</v>
      </c>
      <c r="H150" t="s">
        <v>21</v>
      </c>
      <c r="I150" t="s">
        <v>132</v>
      </c>
      <c r="J150">
        <v>132</v>
      </c>
      <c r="K150" t="s">
        <v>659</v>
      </c>
      <c r="L150" t="s">
        <v>659</v>
      </c>
      <c r="M150">
        <v>72509</v>
      </c>
      <c r="N150">
        <v>317936</v>
      </c>
      <c r="O150" s="1">
        <v>0.57499999999999996</v>
      </c>
      <c r="P150" s="1">
        <v>0.35</v>
      </c>
      <c r="Q150" s="1">
        <v>7.0000000000000007E-2</v>
      </c>
      <c r="R150" s="1">
        <v>4.0000000000000001E-3</v>
      </c>
      <c r="S150" s="1">
        <v>1E-3</v>
      </c>
    </row>
    <row r="151" spans="1:19" x14ac:dyDescent="0.3">
      <c r="A151">
        <v>150</v>
      </c>
      <c r="B151" t="s">
        <v>660</v>
      </c>
      <c r="C151">
        <v>8.6999999999999993</v>
      </c>
      <c r="D151" s="2">
        <f t="shared" si="2"/>
        <v>8.6337440681453934</v>
      </c>
      <c r="E151" t="s">
        <v>661</v>
      </c>
      <c r="F151" t="s">
        <v>662</v>
      </c>
      <c r="G151">
        <v>2013</v>
      </c>
      <c r="H151" t="s">
        <v>21</v>
      </c>
      <c r="I151" t="s">
        <v>117</v>
      </c>
      <c r="J151">
        <v>97</v>
      </c>
      <c r="K151" t="s">
        <v>663</v>
      </c>
      <c r="L151" t="s">
        <v>663</v>
      </c>
      <c r="M151">
        <v>138054</v>
      </c>
      <c r="N151">
        <v>616452</v>
      </c>
      <c r="O151" s="1">
        <v>0.48199999999999998</v>
      </c>
      <c r="P151" s="1">
        <v>0.41299999999999998</v>
      </c>
      <c r="Q151" s="1">
        <v>9.6000000000000002E-2</v>
      </c>
      <c r="R151" s="1">
        <v>6.0000000000000001E-3</v>
      </c>
      <c r="S151" s="1">
        <v>2E-3</v>
      </c>
    </row>
    <row r="152" spans="1:19" x14ac:dyDescent="0.3">
      <c r="A152">
        <v>151</v>
      </c>
      <c r="B152" t="s">
        <v>664</v>
      </c>
      <c r="C152">
        <v>8.6999999999999993</v>
      </c>
      <c r="D152" s="2">
        <f t="shared" si="2"/>
        <v>8.6677564236790747</v>
      </c>
      <c r="E152" t="s">
        <v>665</v>
      </c>
      <c r="F152" t="s">
        <v>666</v>
      </c>
      <c r="G152">
        <v>2018</v>
      </c>
      <c r="H152" t="s">
        <v>42</v>
      </c>
      <c r="I152" t="s">
        <v>64</v>
      </c>
      <c r="J152">
        <v>140</v>
      </c>
      <c r="K152" t="s">
        <v>59</v>
      </c>
      <c r="L152" t="s">
        <v>667</v>
      </c>
      <c r="M152">
        <v>332002</v>
      </c>
      <c r="N152">
        <v>1293092</v>
      </c>
      <c r="O152" s="1">
        <v>0.48599999999999999</v>
      </c>
      <c r="P152" s="1">
        <v>0.378</v>
      </c>
      <c r="Q152" s="1">
        <v>0.11899999999999999</v>
      </c>
      <c r="R152" s="1">
        <v>1.2999999999999999E-2</v>
      </c>
      <c r="S152" s="1">
        <v>4.0000000000000001E-3</v>
      </c>
    </row>
    <row r="153" spans="1:19" x14ac:dyDescent="0.3">
      <c r="A153">
        <v>152</v>
      </c>
      <c r="B153" t="s">
        <v>668</v>
      </c>
      <c r="C153">
        <v>8.8000000000000007</v>
      </c>
      <c r="D153" s="2">
        <f t="shared" si="2"/>
        <v>8.7288831012025092</v>
      </c>
      <c r="E153" t="s">
        <v>669</v>
      </c>
      <c r="F153" t="s">
        <v>670</v>
      </c>
      <c r="G153">
        <v>2014</v>
      </c>
      <c r="H153" t="s">
        <v>21</v>
      </c>
      <c r="I153" t="s">
        <v>671</v>
      </c>
      <c r="J153">
        <v>114</v>
      </c>
      <c r="K153" t="s">
        <v>672</v>
      </c>
      <c r="L153" t="s">
        <v>673</v>
      </c>
      <c r="M153">
        <v>138065</v>
      </c>
      <c r="N153">
        <v>607761</v>
      </c>
      <c r="O153" s="1">
        <v>0.48499999999999999</v>
      </c>
      <c r="P153" s="1">
        <v>0.41599999999999998</v>
      </c>
      <c r="Q153" s="1">
        <v>9.2999999999999999E-2</v>
      </c>
      <c r="R153" s="1">
        <v>5.0000000000000001E-3</v>
      </c>
      <c r="S153" s="1">
        <v>1E-3</v>
      </c>
    </row>
    <row r="154" spans="1:19" x14ac:dyDescent="0.3">
      <c r="A154">
        <v>153</v>
      </c>
      <c r="B154" t="s">
        <v>674</v>
      </c>
      <c r="C154">
        <v>8.6999999999999993</v>
      </c>
      <c r="D154" s="2">
        <f t="shared" si="2"/>
        <v>8.6448781417837939</v>
      </c>
      <c r="E154" t="s">
        <v>675</v>
      </c>
      <c r="F154" t="s">
        <v>676</v>
      </c>
      <c r="G154">
        <v>2016</v>
      </c>
      <c r="H154" t="s">
        <v>21</v>
      </c>
      <c r="I154" t="s">
        <v>150</v>
      </c>
      <c r="J154">
        <v>139</v>
      </c>
      <c r="K154" t="s">
        <v>490</v>
      </c>
      <c r="L154" t="s">
        <v>677</v>
      </c>
      <c r="M154">
        <v>176878</v>
      </c>
      <c r="N154">
        <v>746019</v>
      </c>
      <c r="O154" s="1">
        <v>0.46600000000000003</v>
      </c>
      <c r="P154" s="1">
        <v>0.41499999999999998</v>
      </c>
      <c r="Q154" s="1">
        <v>0.108</v>
      </c>
      <c r="R154" s="1">
        <v>8.9999999999999993E-3</v>
      </c>
      <c r="S154" s="1">
        <v>2E-3</v>
      </c>
    </row>
    <row r="155" spans="1:19" x14ac:dyDescent="0.3">
      <c r="A155">
        <v>154</v>
      </c>
      <c r="B155" t="s">
        <v>678</v>
      </c>
      <c r="C155">
        <v>9</v>
      </c>
      <c r="D155" s="2">
        <f t="shared" si="2"/>
        <v>8.8606256237003347</v>
      </c>
      <c r="E155" t="s">
        <v>679</v>
      </c>
      <c r="F155" t="s">
        <v>680</v>
      </c>
      <c r="G155">
        <v>1993</v>
      </c>
      <c r="H155" t="s">
        <v>21</v>
      </c>
      <c r="I155" t="s">
        <v>47</v>
      </c>
      <c r="J155">
        <v>108</v>
      </c>
      <c r="K155" t="s">
        <v>218</v>
      </c>
      <c r="L155" t="s">
        <v>218</v>
      </c>
      <c r="M155">
        <v>82360</v>
      </c>
      <c r="N155">
        <v>333746</v>
      </c>
      <c r="O155" s="1">
        <v>0.54800000000000004</v>
      </c>
      <c r="P155" s="1">
        <v>0.38900000000000001</v>
      </c>
      <c r="Q155" s="1">
        <v>5.8999999999999997E-2</v>
      </c>
      <c r="R155" s="1">
        <v>3.0000000000000001E-3</v>
      </c>
      <c r="S155" s="1">
        <v>1E-3</v>
      </c>
    </row>
    <row r="156" spans="1:19" x14ac:dyDescent="0.3">
      <c r="A156">
        <v>155</v>
      </c>
      <c r="B156" t="s">
        <v>681</v>
      </c>
      <c r="C156">
        <v>9.3000000000000007</v>
      </c>
      <c r="D156" s="2">
        <f t="shared" si="2"/>
        <v>9.0257882990290526</v>
      </c>
      <c r="E156" t="s">
        <v>682</v>
      </c>
      <c r="F156" t="s">
        <v>683</v>
      </c>
      <c r="G156">
        <v>1954</v>
      </c>
      <c r="H156" t="s">
        <v>21</v>
      </c>
      <c r="I156" t="s">
        <v>42</v>
      </c>
      <c r="J156">
        <v>207</v>
      </c>
      <c r="K156" t="s">
        <v>684</v>
      </c>
      <c r="L156" t="s">
        <v>684</v>
      </c>
      <c r="M156">
        <v>43873</v>
      </c>
      <c r="N156">
        <v>184692</v>
      </c>
      <c r="O156" s="1">
        <v>0.70799999999999996</v>
      </c>
      <c r="P156" s="1">
        <v>0.24</v>
      </c>
      <c r="Q156" s="1">
        <v>4.4999999999999998E-2</v>
      </c>
      <c r="R156" s="1">
        <v>4.0000000000000001E-3</v>
      </c>
      <c r="S156" s="1">
        <v>2E-3</v>
      </c>
    </row>
    <row r="157" spans="1:19" x14ac:dyDescent="0.3">
      <c r="A157">
        <v>156</v>
      </c>
      <c r="B157" t="s">
        <v>685</v>
      </c>
      <c r="C157">
        <v>8.6999999999999993</v>
      </c>
      <c r="D157" s="2">
        <f t="shared" si="2"/>
        <v>8.6277522974769401</v>
      </c>
      <c r="E157" t="s">
        <v>686</v>
      </c>
      <c r="F157" t="s">
        <v>687</v>
      </c>
      <c r="G157">
        <v>2000</v>
      </c>
      <c r="H157" t="s">
        <v>21</v>
      </c>
      <c r="I157" t="s">
        <v>27</v>
      </c>
      <c r="J157">
        <v>98</v>
      </c>
      <c r="K157" t="s">
        <v>406</v>
      </c>
      <c r="L157" t="s">
        <v>406</v>
      </c>
      <c r="M157">
        <v>124635</v>
      </c>
      <c r="N157">
        <v>563254</v>
      </c>
      <c r="O157" s="1">
        <v>0.48199999999999998</v>
      </c>
      <c r="P157" s="1">
        <v>0.41199999999999998</v>
      </c>
      <c r="Q157" s="1">
        <v>9.8000000000000004E-2</v>
      </c>
      <c r="R157" s="1">
        <v>6.0000000000000001E-3</v>
      </c>
      <c r="S157" s="1">
        <v>2E-3</v>
      </c>
    </row>
    <row r="158" spans="1:19" x14ac:dyDescent="0.3">
      <c r="A158">
        <v>157</v>
      </c>
      <c r="B158" t="s">
        <v>688</v>
      </c>
      <c r="C158">
        <v>8.8000000000000007</v>
      </c>
      <c r="D158" s="2">
        <f t="shared" si="2"/>
        <v>8.7245253904972451</v>
      </c>
      <c r="E158" t="s">
        <v>689</v>
      </c>
      <c r="F158" t="s">
        <v>690</v>
      </c>
      <c r="G158">
        <v>2015</v>
      </c>
      <c r="H158" t="s">
        <v>47</v>
      </c>
      <c r="I158" t="s">
        <v>53</v>
      </c>
      <c r="J158">
        <v>95</v>
      </c>
      <c r="K158" t="s">
        <v>188</v>
      </c>
      <c r="L158" t="s">
        <v>188</v>
      </c>
      <c r="M158">
        <v>136781</v>
      </c>
      <c r="N158">
        <v>571227</v>
      </c>
      <c r="O158" s="1">
        <v>0.51400000000000001</v>
      </c>
      <c r="P158" s="1">
        <v>0.37</v>
      </c>
      <c r="Q158" s="1">
        <v>0.106</v>
      </c>
      <c r="R158" s="1">
        <v>8.0000000000000002E-3</v>
      </c>
      <c r="S158" s="1">
        <v>2E-3</v>
      </c>
    </row>
    <row r="159" spans="1:19" x14ac:dyDescent="0.3">
      <c r="A159">
        <v>158</v>
      </c>
      <c r="B159" t="s">
        <v>691</v>
      </c>
      <c r="C159">
        <v>8.8000000000000007</v>
      </c>
      <c r="D159" s="2">
        <f t="shared" si="2"/>
        <v>8.6996718153604675</v>
      </c>
      <c r="E159" t="s">
        <v>692</v>
      </c>
      <c r="F159" t="s">
        <v>693</v>
      </c>
      <c r="G159">
        <v>2003</v>
      </c>
      <c r="H159" t="s">
        <v>42</v>
      </c>
      <c r="I159" t="s">
        <v>64</v>
      </c>
      <c r="J159">
        <v>129</v>
      </c>
      <c r="K159" t="s">
        <v>694</v>
      </c>
      <c r="L159" t="s">
        <v>271</v>
      </c>
      <c r="M159">
        <v>48463</v>
      </c>
      <c r="N159">
        <v>423528</v>
      </c>
      <c r="O159" s="1">
        <v>0.53500000000000003</v>
      </c>
      <c r="P159" s="1">
        <v>0.35599999999999998</v>
      </c>
      <c r="Q159" s="1">
        <v>9.9000000000000005E-2</v>
      </c>
      <c r="R159" s="1">
        <v>8.0000000000000002E-3</v>
      </c>
      <c r="S159" s="1">
        <v>2E-3</v>
      </c>
    </row>
    <row r="160" spans="1:19" x14ac:dyDescent="0.3">
      <c r="A160">
        <v>159</v>
      </c>
      <c r="B160" t="s">
        <v>695</v>
      </c>
      <c r="C160">
        <v>8.6999999999999993</v>
      </c>
      <c r="D160" s="2">
        <f t="shared" si="2"/>
        <v>8.6342779778648229</v>
      </c>
      <c r="F160" t="s">
        <v>696</v>
      </c>
      <c r="G160">
        <v>1994</v>
      </c>
      <c r="H160" t="s">
        <v>21</v>
      </c>
      <c r="I160" t="s">
        <v>47</v>
      </c>
      <c r="J160">
        <v>108</v>
      </c>
      <c r="K160" t="s">
        <v>697</v>
      </c>
      <c r="L160" t="s">
        <v>697</v>
      </c>
      <c r="M160">
        <v>62714</v>
      </c>
      <c r="N160">
        <v>621663</v>
      </c>
      <c r="O160" s="1">
        <v>0.45700000000000002</v>
      </c>
      <c r="P160" s="1">
        <v>0.435</v>
      </c>
      <c r="Q160" s="1">
        <v>0.10199999999999999</v>
      </c>
      <c r="R160" s="1">
        <v>4.0000000000000001E-3</v>
      </c>
      <c r="S160" s="1">
        <v>1E-3</v>
      </c>
    </row>
    <row r="161" spans="1:19" x14ac:dyDescent="0.3">
      <c r="A161">
        <v>160</v>
      </c>
      <c r="B161" t="s">
        <v>698</v>
      </c>
      <c r="C161">
        <v>8.8000000000000007</v>
      </c>
      <c r="D161" s="2">
        <f t="shared" si="2"/>
        <v>8.714047831426786</v>
      </c>
      <c r="E161" t="s">
        <v>699</v>
      </c>
      <c r="F161" t="s">
        <v>700</v>
      </c>
      <c r="G161">
        <v>2004</v>
      </c>
      <c r="H161" t="s">
        <v>117</v>
      </c>
      <c r="I161" t="s">
        <v>103</v>
      </c>
      <c r="J161">
        <v>103</v>
      </c>
      <c r="K161" t="s">
        <v>701</v>
      </c>
      <c r="L161" t="s">
        <v>701</v>
      </c>
      <c r="M161">
        <v>89991</v>
      </c>
      <c r="N161">
        <v>498547</v>
      </c>
      <c r="O161" s="1">
        <v>0.51</v>
      </c>
      <c r="P161" s="1">
        <v>0.373</v>
      </c>
      <c r="Q161" s="1">
        <v>0.105</v>
      </c>
      <c r="R161" s="1">
        <v>8.9999999999999993E-3</v>
      </c>
      <c r="S161" s="1">
        <v>4.0000000000000001E-3</v>
      </c>
    </row>
    <row r="162" spans="1:19" x14ac:dyDescent="0.3">
      <c r="A162">
        <v>161</v>
      </c>
      <c r="B162" t="s">
        <v>702</v>
      </c>
      <c r="C162">
        <v>8.6999999999999993</v>
      </c>
      <c r="D162" s="2">
        <f t="shared" si="2"/>
        <v>8.6471137154668121</v>
      </c>
      <c r="E162" t="s">
        <v>703</v>
      </c>
      <c r="F162" t="s">
        <v>704</v>
      </c>
      <c r="G162">
        <v>2017</v>
      </c>
      <c r="H162" t="s">
        <v>21</v>
      </c>
      <c r="I162" t="s">
        <v>22</v>
      </c>
      <c r="J162">
        <v>115</v>
      </c>
      <c r="K162" t="s">
        <v>705</v>
      </c>
      <c r="L162" t="s">
        <v>705</v>
      </c>
      <c r="M162">
        <v>195677</v>
      </c>
      <c r="N162">
        <v>778611</v>
      </c>
      <c r="O162" s="1">
        <v>0.46800000000000003</v>
      </c>
      <c r="P162" s="1">
        <v>0.434</v>
      </c>
      <c r="Q162" s="1">
        <v>8.8999999999999996E-2</v>
      </c>
      <c r="R162" s="1">
        <v>7.0000000000000001E-3</v>
      </c>
      <c r="S162" s="1">
        <v>2E-3</v>
      </c>
    </row>
    <row r="163" spans="1:19" x14ac:dyDescent="0.3">
      <c r="A163">
        <v>162</v>
      </c>
      <c r="B163" t="s">
        <v>706</v>
      </c>
      <c r="C163">
        <v>8.5</v>
      </c>
      <c r="D163" s="2">
        <f t="shared" si="2"/>
        <v>8.4719057561734292</v>
      </c>
      <c r="E163" t="s">
        <v>707</v>
      </c>
      <c r="F163" t="s">
        <v>708</v>
      </c>
      <c r="G163">
        <v>2016</v>
      </c>
      <c r="H163" t="s">
        <v>21</v>
      </c>
      <c r="I163" t="s">
        <v>27</v>
      </c>
      <c r="J163">
        <v>106</v>
      </c>
      <c r="K163" t="s">
        <v>709</v>
      </c>
      <c r="L163" t="s">
        <v>709</v>
      </c>
      <c r="M163">
        <v>321567</v>
      </c>
      <c r="N163">
        <v>1309793</v>
      </c>
      <c r="O163" s="1">
        <v>0.435</v>
      </c>
      <c r="P163" s="1">
        <v>0.38600000000000001</v>
      </c>
      <c r="Q163" s="1">
        <v>0.159</v>
      </c>
      <c r="R163" s="1">
        <v>1.6E-2</v>
      </c>
      <c r="S163" s="1">
        <v>4.0000000000000001E-3</v>
      </c>
    </row>
    <row r="164" spans="1:19" x14ac:dyDescent="0.3">
      <c r="A164">
        <v>163</v>
      </c>
      <c r="B164" t="s">
        <v>710</v>
      </c>
      <c r="C164">
        <v>9</v>
      </c>
      <c r="D164" s="2">
        <f t="shared" si="2"/>
        <v>8.8282731144387974</v>
      </c>
      <c r="E164" t="s">
        <v>711</v>
      </c>
      <c r="F164" t="s">
        <v>712</v>
      </c>
      <c r="G164">
        <v>1960</v>
      </c>
      <c r="H164" t="s">
        <v>117</v>
      </c>
      <c r="I164" t="s">
        <v>103</v>
      </c>
      <c r="J164">
        <v>109</v>
      </c>
      <c r="K164" t="s">
        <v>713</v>
      </c>
      <c r="L164" t="s">
        <v>714</v>
      </c>
      <c r="M164">
        <v>67419</v>
      </c>
      <c r="N164">
        <v>266160</v>
      </c>
      <c r="O164" s="1">
        <v>0.58599999999999997</v>
      </c>
      <c r="P164" s="1">
        <v>0.34699999999999998</v>
      </c>
      <c r="Q164" s="1">
        <v>6.0999999999999999E-2</v>
      </c>
      <c r="R164" s="1">
        <v>4.0000000000000001E-3</v>
      </c>
      <c r="S164" s="1">
        <v>2E-3</v>
      </c>
    </row>
    <row r="165" spans="1:19" x14ac:dyDescent="0.3">
      <c r="A165">
        <v>164</v>
      </c>
      <c r="B165" t="s">
        <v>715</v>
      </c>
      <c r="C165">
        <v>8.8000000000000007</v>
      </c>
      <c r="D165" s="2">
        <f t="shared" si="2"/>
        <v>8.7008921905248524</v>
      </c>
      <c r="E165" t="s">
        <v>716</v>
      </c>
      <c r="F165" t="s">
        <v>717</v>
      </c>
      <c r="G165">
        <v>2013</v>
      </c>
      <c r="H165" t="s">
        <v>21</v>
      </c>
      <c r="I165" t="s">
        <v>671</v>
      </c>
      <c r="J165">
        <v>117</v>
      </c>
      <c r="K165" t="s">
        <v>718</v>
      </c>
      <c r="L165" t="s">
        <v>719</v>
      </c>
      <c r="M165">
        <v>92343</v>
      </c>
      <c r="N165">
        <v>429051</v>
      </c>
      <c r="O165" s="1">
        <v>0.498</v>
      </c>
      <c r="P165" s="1">
        <v>0.42299999999999999</v>
      </c>
      <c r="Q165" s="1">
        <v>7.4999999999999997E-2</v>
      </c>
      <c r="R165" s="1">
        <v>3.0000000000000001E-3</v>
      </c>
      <c r="S165" s="1">
        <v>1E-3</v>
      </c>
    </row>
    <row r="166" spans="1:19" x14ac:dyDescent="0.3">
      <c r="A166">
        <v>165</v>
      </c>
      <c r="B166" t="s">
        <v>720</v>
      </c>
      <c r="C166">
        <v>8.9</v>
      </c>
      <c r="D166" s="2">
        <f t="shared" si="2"/>
        <v>8.7579316037876929</v>
      </c>
      <c r="E166" t="s">
        <v>721</v>
      </c>
      <c r="F166" t="s">
        <v>722</v>
      </c>
      <c r="G166">
        <v>2004</v>
      </c>
      <c r="H166" t="s">
        <v>21</v>
      </c>
      <c r="I166" t="s">
        <v>150</v>
      </c>
      <c r="J166">
        <v>121</v>
      </c>
      <c r="K166" t="s">
        <v>723</v>
      </c>
      <c r="L166" t="s">
        <v>724</v>
      </c>
      <c r="M166">
        <v>59214</v>
      </c>
      <c r="N166">
        <v>309346</v>
      </c>
      <c r="O166" s="1">
        <v>0.54800000000000004</v>
      </c>
      <c r="P166" s="1">
        <v>0.38200000000000001</v>
      </c>
      <c r="Q166" s="1">
        <v>6.5000000000000002E-2</v>
      </c>
      <c r="R166" s="1">
        <v>4.0000000000000001E-3</v>
      </c>
      <c r="S166" s="1">
        <v>1E-3</v>
      </c>
    </row>
    <row r="167" spans="1:19" x14ac:dyDescent="0.3">
      <c r="A167">
        <v>166</v>
      </c>
      <c r="B167" t="s">
        <v>725</v>
      </c>
      <c r="C167">
        <v>8.6999999999999993</v>
      </c>
      <c r="D167" s="2">
        <f t="shared" si="2"/>
        <v>8.648279093314251</v>
      </c>
      <c r="E167" t="s">
        <v>726</v>
      </c>
      <c r="F167" t="s">
        <v>727</v>
      </c>
      <c r="G167">
        <v>2013</v>
      </c>
      <c r="H167" t="s">
        <v>47</v>
      </c>
      <c r="I167" t="s">
        <v>53</v>
      </c>
      <c r="J167">
        <v>98</v>
      </c>
      <c r="K167" t="s">
        <v>728</v>
      </c>
      <c r="L167" t="s">
        <v>729</v>
      </c>
      <c r="M167">
        <v>161508</v>
      </c>
      <c r="N167">
        <v>796718</v>
      </c>
      <c r="O167" s="1">
        <v>0.46500000000000002</v>
      </c>
      <c r="P167" s="1">
        <v>0.41499999999999998</v>
      </c>
      <c r="Q167" s="1">
        <v>0.113</v>
      </c>
      <c r="R167" s="1">
        <v>6.0000000000000001E-3</v>
      </c>
      <c r="S167" s="1">
        <v>1E-3</v>
      </c>
    </row>
    <row r="168" spans="1:19" x14ac:dyDescent="0.3">
      <c r="A168">
        <v>167</v>
      </c>
      <c r="B168" t="s">
        <v>730</v>
      </c>
      <c r="C168">
        <v>9</v>
      </c>
      <c r="D168" s="2">
        <f t="shared" si="2"/>
        <v>8.8395728788326053</v>
      </c>
      <c r="E168" t="s">
        <v>731</v>
      </c>
      <c r="F168" t="s">
        <v>732</v>
      </c>
      <c r="G168">
        <v>2002</v>
      </c>
      <c r="H168" t="s">
        <v>21</v>
      </c>
      <c r="I168" t="s">
        <v>22</v>
      </c>
      <c r="J168">
        <v>130</v>
      </c>
      <c r="K168" t="s">
        <v>733</v>
      </c>
      <c r="L168" t="s">
        <v>734</v>
      </c>
      <c r="M168">
        <v>56531</v>
      </c>
      <c r="N168">
        <v>286668</v>
      </c>
      <c r="O168" s="1">
        <v>0.57699999999999996</v>
      </c>
      <c r="P168" s="1">
        <v>0.34599999999999997</v>
      </c>
      <c r="Q168" s="1">
        <v>7.0000000000000007E-2</v>
      </c>
      <c r="R168" s="1">
        <v>5.0000000000000001E-3</v>
      </c>
      <c r="S168" s="1">
        <v>2E-3</v>
      </c>
    </row>
    <row r="169" spans="1:19" x14ac:dyDescent="0.3">
      <c r="A169">
        <v>168</v>
      </c>
      <c r="B169" t="s">
        <v>735</v>
      </c>
      <c r="C169">
        <v>8.8000000000000007</v>
      </c>
      <c r="D169" s="2">
        <f t="shared" si="2"/>
        <v>8.6931867380653998</v>
      </c>
      <c r="E169" t="s">
        <v>736</v>
      </c>
      <c r="F169" t="s">
        <v>737</v>
      </c>
      <c r="G169">
        <v>2007</v>
      </c>
      <c r="H169" t="s">
        <v>42</v>
      </c>
      <c r="I169" t="s">
        <v>117</v>
      </c>
      <c r="J169">
        <v>115</v>
      </c>
      <c r="K169" t="s">
        <v>738</v>
      </c>
      <c r="L169" t="s">
        <v>739</v>
      </c>
      <c r="M169">
        <v>54779</v>
      </c>
      <c r="N169">
        <v>396296</v>
      </c>
      <c r="O169" s="1">
        <v>0.51800000000000002</v>
      </c>
      <c r="P169" s="1">
        <v>0.38600000000000001</v>
      </c>
      <c r="Q169" s="1">
        <v>9.0999999999999998E-2</v>
      </c>
      <c r="R169" s="1">
        <v>4.0000000000000001E-3</v>
      </c>
      <c r="S169" s="1">
        <v>1E-3</v>
      </c>
    </row>
    <row r="170" spans="1:19" x14ac:dyDescent="0.3">
      <c r="A170">
        <v>169</v>
      </c>
      <c r="B170" t="s">
        <v>740</v>
      </c>
      <c r="C170">
        <v>8.6999999999999993</v>
      </c>
      <c r="D170" s="2">
        <f t="shared" si="2"/>
        <v>8.6168162343394314</v>
      </c>
      <c r="E170" t="s">
        <v>741</v>
      </c>
      <c r="F170" t="s">
        <v>742</v>
      </c>
      <c r="G170">
        <v>2014</v>
      </c>
      <c r="H170" t="s">
        <v>21</v>
      </c>
      <c r="I170" t="s">
        <v>117</v>
      </c>
      <c r="J170">
        <v>110</v>
      </c>
      <c r="K170" t="s">
        <v>743</v>
      </c>
      <c r="L170" t="s">
        <v>743</v>
      </c>
      <c r="M170">
        <v>130161</v>
      </c>
      <c r="N170">
        <v>485917</v>
      </c>
      <c r="O170" s="1">
        <v>0.47599999999999998</v>
      </c>
      <c r="P170" s="1">
        <v>0.43099999999999999</v>
      </c>
      <c r="Q170" s="1">
        <v>8.4000000000000005E-2</v>
      </c>
      <c r="R170" s="1">
        <v>7.0000000000000001E-3</v>
      </c>
      <c r="S170" s="1">
        <v>2E-3</v>
      </c>
    </row>
    <row r="171" spans="1:19" x14ac:dyDescent="0.3">
      <c r="A171">
        <v>170</v>
      </c>
      <c r="B171" t="s">
        <v>744</v>
      </c>
      <c r="C171">
        <v>8.6</v>
      </c>
      <c r="D171" s="2">
        <f t="shared" si="2"/>
        <v>8.5242290782277941</v>
      </c>
      <c r="E171" t="s">
        <v>745</v>
      </c>
      <c r="F171" t="s">
        <v>746</v>
      </c>
      <c r="G171">
        <v>1986</v>
      </c>
      <c r="H171" t="s">
        <v>21</v>
      </c>
      <c r="I171" t="s">
        <v>42</v>
      </c>
      <c r="J171">
        <v>95</v>
      </c>
      <c r="K171" t="s">
        <v>747</v>
      </c>
      <c r="L171" t="s">
        <v>748</v>
      </c>
      <c r="M171">
        <v>79513</v>
      </c>
      <c r="N171">
        <v>502907</v>
      </c>
      <c r="O171" s="1">
        <v>0.44600000000000001</v>
      </c>
      <c r="P171" s="1">
        <v>0.435</v>
      </c>
      <c r="Q171" s="1">
        <v>0.112</v>
      </c>
      <c r="R171" s="1">
        <v>5.0000000000000001E-3</v>
      </c>
      <c r="S171" s="1">
        <v>1E-3</v>
      </c>
    </row>
    <row r="172" spans="1:19" x14ac:dyDescent="0.3">
      <c r="A172">
        <v>171</v>
      </c>
      <c r="B172" t="s">
        <v>749</v>
      </c>
      <c r="C172">
        <v>8.9</v>
      </c>
      <c r="D172" s="2">
        <f t="shared" si="2"/>
        <v>8.7693076607722134</v>
      </c>
      <c r="E172" t="s">
        <v>750</v>
      </c>
      <c r="F172" t="s">
        <v>751</v>
      </c>
      <c r="G172">
        <v>1984</v>
      </c>
      <c r="H172" t="s">
        <v>53</v>
      </c>
      <c r="I172" t="s">
        <v>146</v>
      </c>
      <c r="J172">
        <v>117</v>
      </c>
      <c r="K172" t="s">
        <v>54</v>
      </c>
      <c r="L172" t="s">
        <v>54</v>
      </c>
      <c r="M172">
        <v>51836</v>
      </c>
      <c r="N172">
        <v>338449</v>
      </c>
      <c r="O172" s="1">
        <v>0.54800000000000004</v>
      </c>
      <c r="P172" s="1">
        <v>0.35799999999999998</v>
      </c>
      <c r="Q172" s="1">
        <v>8.7999999999999995E-2</v>
      </c>
      <c r="R172" s="1">
        <v>5.0000000000000001E-3</v>
      </c>
      <c r="S172" s="1">
        <v>2E-3</v>
      </c>
    </row>
    <row r="173" spans="1:19" x14ac:dyDescent="0.3">
      <c r="A173">
        <v>172</v>
      </c>
      <c r="B173" t="s">
        <v>752</v>
      </c>
      <c r="C173">
        <v>8.6</v>
      </c>
      <c r="D173" s="2">
        <f t="shared" si="2"/>
        <v>8.5467129198522347</v>
      </c>
      <c r="E173" t="s">
        <v>753</v>
      </c>
      <c r="F173" t="s">
        <v>754</v>
      </c>
      <c r="G173">
        <v>2007</v>
      </c>
      <c r="H173" t="s">
        <v>21</v>
      </c>
      <c r="I173" t="s">
        <v>27</v>
      </c>
      <c r="J173">
        <v>158</v>
      </c>
      <c r="K173" t="s">
        <v>218</v>
      </c>
      <c r="L173" t="s">
        <v>755</v>
      </c>
      <c r="M173">
        <v>136301</v>
      </c>
      <c r="N173">
        <v>725651</v>
      </c>
      <c r="O173" s="1">
        <v>0.45300000000000001</v>
      </c>
      <c r="P173" s="1">
        <v>0.41399999999999998</v>
      </c>
      <c r="Q173" s="1">
        <v>0.122</v>
      </c>
      <c r="R173" s="1">
        <v>8.0000000000000002E-3</v>
      </c>
      <c r="S173" s="1">
        <v>3.0000000000000001E-3</v>
      </c>
    </row>
    <row r="174" spans="1:19" x14ac:dyDescent="0.3">
      <c r="A174">
        <v>173</v>
      </c>
      <c r="B174" t="s">
        <v>756</v>
      </c>
      <c r="C174">
        <v>8.8000000000000007</v>
      </c>
      <c r="D174" s="2">
        <f t="shared" si="2"/>
        <v>8.6932138594172343</v>
      </c>
      <c r="E174" t="s">
        <v>757</v>
      </c>
      <c r="F174" t="s">
        <v>758</v>
      </c>
      <c r="G174">
        <v>1991</v>
      </c>
      <c r="H174" t="s">
        <v>21</v>
      </c>
      <c r="I174" t="s">
        <v>47</v>
      </c>
      <c r="J174">
        <v>108</v>
      </c>
      <c r="K174" t="s">
        <v>747</v>
      </c>
      <c r="L174" t="s">
        <v>747</v>
      </c>
      <c r="M174">
        <v>74867</v>
      </c>
      <c r="N174">
        <v>396403</v>
      </c>
      <c r="O174" s="1">
        <v>0.51700000000000002</v>
      </c>
      <c r="P174" s="1">
        <v>0.38200000000000001</v>
      </c>
      <c r="Q174" s="1">
        <v>9.1999999999999998E-2</v>
      </c>
      <c r="R174" s="1">
        <v>7.0000000000000001E-3</v>
      </c>
      <c r="S174" s="1">
        <v>2E-3</v>
      </c>
    </row>
    <row r="175" spans="1:19" x14ac:dyDescent="0.3">
      <c r="A175">
        <v>174</v>
      </c>
      <c r="B175" t="s">
        <v>759</v>
      </c>
      <c r="C175">
        <v>8.8000000000000007</v>
      </c>
      <c r="D175" s="2">
        <f t="shared" si="2"/>
        <v>8.6985611462139634</v>
      </c>
      <c r="E175" t="s">
        <v>760</v>
      </c>
      <c r="F175" t="s">
        <v>761</v>
      </c>
      <c r="G175">
        <v>2015</v>
      </c>
      <c r="H175" t="s">
        <v>21</v>
      </c>
      <c r="I175" t="s">
        <v>132</v>
      </c>
      <c r="J175">
        <v>127</v>
      </c>
      <c r="K175" t="s">
        <v>547</v>
      </c>
      <c r="L175" t="s">
        <v>547</v>
      </c>
      <c r="M175">
        <v>132186</v>
      </c>
      <c r="N175">
        <v>418617</v>
      </c>
      <c r="O175" s="1">
        <v>0.501</v>
      </c>
      <c r="P175" s="1">
        <v>0.40799999999999997</v>
      </c>
      <c r="Q175" s="1">
        <v>8.5000000000000006E-2</v>
      </c>
      <c r="R175" s="1">
        <v>5.0000000000000001E-3</v>
      </c>
      <c r="S175" s="1">
        <v>1E-3</v>
      </c>
    </row>
    <row r="176" spans="1:19" x14ac:dyDescent="0.3">
      <c r="A176">
        <v>175</v>
      </c>
      <c r="B176" t="s">
        <v>762</v>
      </c>
      <c r="C176">
        <v>9.5</v>
      </c>
      <c r="D176" s="2">
        <f t="shared" si="2"/>
        <v>9.0650812428238403</v>
      </c>
      <c r="F176" t="s">
        <v>763</v>
      </c>
      <c r="G176">
        <v>1982</v>
      </c>
      <c r="H176" t="s">
        <v>21</v>
      </c>
      <c r="I176" t="s">
        <v>58</v>
      </c>
      <c r="J176">
        <v>118</v>
      </c>
      <c r="K176" t="s">
        <v>764</v>
      </c>
      <c r="L176" t="s">
        <v>765</v>
      </c>
      <c r="M176">
        <v>34099</v>
      </c>
      <c r="N176">
        <v>118705</v>
      </c>
      <c r="O176" s="1">
        <v>0.79900000000000004</v>
      </c>
      <c r="P176" s="1">
        <v>0.17599999999999999</v>
      </c>
      <c r="Q176" s="1">
        <v>2.3E-2</v>
      </c>
      <c r="R176" s="1">
        <v>2E-3</v>
      </c>
      <c r="S176" s="1">
        <v>1E-3</v>
      </c>
    </row>
    <row r="177" spans="1:19" x14ac:dyDescent="0.3">
      <c r="A177">
        <v>176</v>
      </c>
      <c r="B177" t="s">
        <v>766</v>
      </c>
      <c r="C177">
        <v>8.6999999999999993</v>
      </c>
      <c r="D177" s="2">
        <f t="shared" si="2"/>
        <v>8.6265440441911014</v>
      </c>
      <c r="E177" t="s">
        <v>767</v>
      </c>
      <c r="F177" t="s">
        <v>768</v>
      </c>
      <c r="G177">
        <v>2010</v>
      </c>
      <c r="H177" t="s">
        <v>21</v>
      </c>
      <c r="I177" t="s">
        <v>132</v>
      </c>
      <c r="J177">
        <v>117</v>
      </c>
      <c r="K177" t="s">
        <v>769</v>
      </c>
      <c r="L177" t="s">
        <v>769</v>
      </c>
      <c r="M177">
        <v>134220</v>
      </c>
      <c r="N177">
        <v>553578</v>
      </c>
      <c r="O177" s="1">
        <v>0.48499999999999999</v>
      </c>
      <c r="P177" s="1">
        <v>0.39900000000000002</v>
      </c>
      <c r="Q177" s="1">
        <v>0.106</v>
      </c>
      <c r="R177" s="1">
        <v>8.0000000000000002E-3</v>
      </c>
      <c r="S177" s="1">
        <v>2E-3</v>
      </c>
    </row>
    <row r="178" spans="1:19" x14ac:dyDescent="0.3">
      <c r="A178">
        <v>177</v>
      </c>
      <c r="B178" t="s">
        <v>770</v>
      </c>
      <c r="C178">
        <v>8.6999999999999993</v>
      </c>
      <c r="D178" s="2">
        <f t="shared" si="2"/>
        <v>8.6287396986946785</v>
      </c>
      <c r="E178" t="s">
        <v>771</v>
      </c>
      <c r="F178" t="s">
        <v>772</v>
      </c>
      <c r="G178">
        <v>2000</v>
      </c>
      <c r="H178" t="s">
        <v>21</v>
      </c>
      <c r="I178" t="s">
        <v>117</v>
      </c>
      <c r="J178">
        <v>113</v>
      </c>
      <c r="K178" t="s">
        <v>65</v>
      </c>
      <c r="L178" t="s">
        <v>65</v>
      </c>
      <c r="M178">
        <v>119401</v>
      </c>
      <c r="N178">
        <v>571405</v>
      </c>
      <c r="O178" s="1">
        <v>0.46600000000000003</v>
      </c>
      <c r="P178" s="1">
        <v>0.41699999999999998</v>
      </c>
      <c r="Q178" s="1">
        <v>0.105</v>
      </c>
      <c r="R178" s="1">
        <v>8.9999999999999993E-3</v>
      </c>
      <c r="S178" s="1">
        <v>3.0000000000000001E-3</v>
      </c>
    </row>
    <row r="179" spans="1:19" x14ac:dyDescent="0.3">
      <c r="A179">
        <v>178</v>
      </c>
      <c r="B179" t="s">
        <v>773</v>
      </c>
      <c r="C179">
        <v>8.9</v>
      </c>
      <c r="D179" s="2">
        <f t="shared" si="2"/>
        <v>8.779264811665815</v>
      </c>
      <c r="E179" t="s">
        <v>774</v>
      </c>
      <c r="F179" t="s">
        <v>775</v>
      </c>
      <c r="G179">
        <v>2013</v>
      </c>
      <c r="H179" t="s">
        <v>21</v>
      </c>
      <c r="I179" t="s">
        <v>27</v>
      </c>
      <c r="J179">
        <v>109</v>
      </c>
      <c r="K179" t="s">
        <v>504</v>
      </c>
      <c r="L179" t="s">
        <v>504</v>
      </c>
      <c r="M179">
        <v>104014</v>
      </c>
      <c r="N179">
        <v>368423</v>
      </c>
      <c r="O179" s="1">
        <v>0.54500000000000004</v>
      </c>
      <c r="P179" s="1">
        <v>0.35299999999999998</v>
      </c>
      <c r="Q179" s="1">
        <v>9.0999999999999998E-2</v>
      </c>
      <c r="R179" s="1">
        <v>8.0000000000000002E-3</v>
      </c>
      <c r="S179" s="1">
        <v>3.0000000000000001E-3</v>
      </c>
    </row>
    <row r="180" spans="1:19" x14ac:dyDescent="0.3">
      <c r="A180">
        <v>179</v>
      </c>
      <c r="B180" t="s">
        <v>776</v>
      </c>
      <c r="C180">
        <v>8.9</v>
      </c>
      <c r="D180" s="2">
        <f t="shared" si="2"/>
        <v>8.7558798007196916</v>
      </c>
      <c r="E180" t="s">
        <v>777</v>
      </c>
      <c r="F180" t="s">
        <v>778</v>
      </c>
      <c r="G180">
        <v>1999</v>
      </c>
      <c r="H180" t="s">
        <v>21</v>
      </c>
      <c r="I180" t="s">
        <v>117</v>
      </c>
      <c r="J180">
        <v>189</v>
      </c>
      <c r="K180" t="s">
        <v>23</v>
      </c>
      <c r="L180" t="s">
        <v>23</v>
      </c>
      <c r="M180">
        <v>56993</v>
      </c>
      <c r="N180">
        <v>304586</v>
      </c>
      <c r="O180" s="1">
        <v>0.56000000000000005</v>
      </c>
      <c r="P180" s="1">
        <v>0.34699999999999998</v>
      </c>
      <c r="Q180" s="1">
        <v>8.4000000000000005E-2</v>
      </c>
      <c r="R180" s="1">
        <v>7.0000000000000001E-3</v>
      </c>
      <c r="S180" s="1">
        <v>2E-3</v>
      </c>
    </row>
    <row r="181" spans="1:19" x14ac:dyDescent="0.3">
      <c r="A181">
        <v>180</v>
      </c>
      <c r="B181" t="s">
        <v>779</v>
      </c>
      <c r="C181">
        <v>9.1999999999999993</v>
      </c>
      <c r="D181" s="2">
        <f t="shared" si="2"/>
        <v>8.9346481917480407</v>
      </c>
      <c r="E181" t="s">
        <v>780</v>
      </c>
      <c r="F181" t="s">
        <v>781</v>
      </c>
      <c r="G181">
        <v>1987</v>
      </c>
      <c r="H181" t="s">
        <v>21</v>
      </c>
      <c r="J181">
        <v>107</v>
      </c>
      <c r="K181" t="s">
        <v>782</v>
      </c>
      <c r="L181" t="s">
        <v>783</v>
      </c>
      <c r="M181">
        <v>32725</v>
      </c>
      <c r="N181">
        <v>182272</v>
      </c>
      <c r="O181" s="1">
        <v>0.66300000000000003</v>
      </c>
      <c r="P181" s="1">
        <v>0.27700000000000002</v>
      </c>
      <c r="Q181" s="1">
        <v>5.3999999999999999E-2</v>
      </c>
      <c r="R181" s="1">
        <v>4.0000000000000001E-3</v>
      </c>
      <c r="S181" s="1">
        <v>2E-3</v>
      </c>
    </row>
    <row r="182" spans="1:19" x14ac:dyDescent="0.3">
      <c r="A182">
        <v>181</v>
      </c>
      <c r="B182" t="s">
        <v>784</v>
      </c>
      <c r="C182">
        <v>8.8000000000000007</v>
      </c>
      <c r="D182" s="2">
        <f t="shared" si="2"/>
        <v>8.6981711539244841</v>
      </c>
      <c r="E182" t="s">
        <v>785</v>
      </c>
      <c r="F182" t="s">
        <v>786</v>
      </c>
      <c r="G182">
        <v>2014</v>
      </c>
      <c r="H182" t="s">
        <v>21</v>
      </c>
      <c r="I182" t="s">
        <v>47</v>
      </c>
      <c r="J182">
        <v>122</v>
      </c>
      <c r="K182" t="s">
        <v>787</v>
      </c>
      <c r="L182" t="s">
        <v>787</v>
      </c>
      <c r="M182">
        <v>114656</v>
      </c>
      <c r="N182">
        <v>416918</v>
      </c>
      <c r="O182" s="1">
        <v>0.49</v>
      </c>
      <c r="P182" s="1">
        <v>0.41699999999999998</v>
      </c>
      <c r="Q182" s="1">
        <v>8.5000000000000006E-2</v>
      </c>
      <c r="R182" s="1">
        <v>6.0000000000000001E-3</v>
      </c>
      <c r="S182" s="1">
        <v>2E-3</v>
      </c>
    </row>
    <row r="183" spans="1:19" x14ac:dyDescent="0.3">
      <c r="A183">
        <v>182</v>
      </c>
      <c r="B183" t="s">
        <v>788</v>
      </c>
      <c r="C183">
        <v>8.6999999999999993</v>
      </c>
      <c r="D183" s="2">
        <f t="shared" si="2"/>
        <v>8.6260151590587029</v>
      </c>
      <c r="E183" t="s">
        <v>789</v>
      </c>
      <c r="F183" t="s">
        <v>790</v>
      </c>
      <c r="G183">
        <v>2014</v>
      </c>
      <c r="H183" t="s">
        <v>21</v>
      </c>
      <c r="I183" t="s">
        <v>83</v>
      </c>
      <c r="J183">
        <v>107</v>
      </c>
      <c r="K183" t="s">
        <v>791</v>
      </c>
      <c r="L183" t="s">
        <v>791</v>
      </c>
      <c r="M183">
        <v>146384</v>
      </c>
      <c r="N183">
        <v>549442</v>
      </c>
      <c r="O183" s="1">
        <v>0.47099999999999997</v>
      </c>
      <c r="P183" s="1">
        <v>0.40500000000000003</v>
      </c>
      <c r="Q183" s="1">
        <v>0.109</v>
      </c>
      <c r="R183" s="1">
        <v>0.01</v>
      </c>
      <c r="S183" s="1">
        <v>4.0000000000000001E-3</v>
      </c>
    </row>
    <row r="184" spans="1:19" x14ac:dyDescent="0.3">
      <c r="A184">
        <v>183</v>
      </c>
      <c r="B184" t="s">
        <v>792</v>
      </c>
      <c r="C184">
        <v>8.6999999999999993</v>
      </c>
      <c r="D184" s="2">
        <f t="shared" si="2"/>
        <v>8.6468779217143048</v>
      </c>
      <c r="E184" t="s">
        <v>793</v>
      </c>
      <c r="F184" t="s">
        <v>794</v>
      </c>
      <c r="G184">
        <v>2018</v>
      </c>
      <c r="H184" t="s">
        <v>21</v>
      </c>
      <c r="I184" t="s">
        <v>132</v>
      </c>
      <c r="J184">
        <v>117</v>
      </c>
      <c r="K184" t="s">
        <v>547</v>
      </c>
      <c r="L184" t="s">
        <v>547</v>
      </c>
      <c r="M184">
        <v>201250</v>
      </c>
      <c r="N184">
        <v>775044</v>
      </c>
      <c r="O184" s="1">
        <v>0.45</v>
      </c>
      <c r="P184" s="1">
        <v>0.44700000000000001</v>
      </c>
      <c r="Q184" s="1">
        <v>9.4E-2</v>
      </c>
      <c r="R184" s="1">
        <v>7.0000000000000001E-3</v>
      </c>
      <c r="S184" s="1">
        <v>2E-3</v>
      </c>
    </row>
    <row r="185" spans="1:19" x14ac:dyDescent="0.3">
      <c r="A185">
        <v>184</v>
      </c>
      <c r="B185" t="s">
        <v>795</v>
      </c>
      <c r="C185">
        <v>8.6</v>
      </c>
      <c r="D185" s="2">
        <f t="shared" si="2"/>
        <v>8.5497290395230294</v>
      </c>
      <c r="E185" t="s">
        <v>796</v>
      </c>
      <c r="F185" t="s">
        <v>797</v>
      </c>
      <c r="G185">
        <v>2006</v>
      </c>
      <c r="H185" t="s">
        <v>47</v>
      </c>
      <c r="I185" t="s">
        <v>22</v>
      </c>
      <c r="J185">
        <v>106</v>
      </c>
      <c r="K185" t="s">
        <v>798</v>
      </c>
      <c r="L185" t="s">
        <v>799</v>
      </c>
      <c r="M185">
        <v>99747</v>
      </c>
      <c r="N185">
        <v>770688</v>
      </c>
      <c r="O185" s="1">
        <v>0.42599999999999999</v>
      </c>
      <c r="P185" s="1">
        <v>0.439</v>
      </c>
      <c r="Q185" s="1">
        <v>0.123</v>
      </c>
      <c r="R185" s="1">
        <v>0.01</v>
      </c>
      <c r="S185" s="1">
        <v>2E-3</v>
      </c>
    </row>
    <row r="186" spans="1:19" x14ac:dyDescent="0.3">
      <c r="A186">
        <v>185</v>
      </c>
      <c r="B186" t="s">
        <v>800</v>
      </c>
      <c r="C186">
        <v>8.6</v>
      </c>
      <c r="D186" s="2">
        <f t="shared" si="2"/>
        <v>8.5457080149900158</v>
      </c>
      <c r="E186" t="s">
        <v>801</v>
      </c>
      <c r="F186" t="s">
        <v>802</v>
      </c>
      <c r="G186">
        <v>2008</v>
      </c>
      <c r="H186" t="s">
        <v>21</v>
      </c>
      <c r="I186" t="s">
        <v>27</v>
      </c>
      <c r="J186">
        <v>120</v>
      </c>
      <c r="K186" t="s">
        <v>803</v>
      </c>
      <c r="L186" t="s">
        <v>804</v>
      </c>
      <c r="M186">
        <v>103302</v>
      </c>
      <c r="N186">
        <v>711757</v>
      </c>
      <c r="O186" s="1">
        <v>0.43</v>
      </c>
      <c r="P186" s="1">
        <v>0.44800000000000001</v>
      </c>
      <c r="Q186" s="1">
        <v>0.113</v>
      </c>
      <c r="R186" s="1">
        <v>7.0000000000000001E-3</v>
      </c>
      <c r="S186" s="1">
        <v>2E-3</v>
      </c>
    </row>
    <row r="187" spans="1:19" x14ac:dyDescent="0.3">
      <c r="A187">
        <v>186</v>
      </c>
      <c r="B187" t="s">
        <v>805</v>
      </c>
      <c r="C187">
        <v>8.6999999999999993</v>
      </c>
      <c r="D187" s="2">
        <f t="shared" si="2"/>
        <v>8.6198181286494542</v>
      </c>
      <c r="E187" t="s">
        <v>806</v>
      </c>
      <c r="F187" t="s">
        <v>807</v>
      </c>
      <c r="G187">
        <v>2012</v>
      </c>
      <c r="H187" t="s">
        <v>47</v>
      </c>
      <c r="I187" t="s">
        <v>53</v>
      </c>
      <c r="J187">
        <v>101</v>
      </c>
      <c r="K187" t="s">
        <v>808</v>
      </c>
      <c r="L187" t="s">
        <v>809</v>
      </c>
      <c r="M187">
        <v>104687</v>
      </c>
      <c r="N187">
        <v>505045</v>
      </c>
      <c r="O187" s="1">
        <v>0.48199999999999998</v>
      </c>
      <c r="P187" s="1">
        <v>0.40699999999999997</v>
      </c>
      <c r="Q187" s="1">
        <v>0.104</v>
      </c>
      <c r="R187" s="1">
        <v>6.0000000000000001E-3</v>
      </c>
      <c r="S187" s="1">
        <v>1E-3</v>
      </c>
    </row>
    <row r="188" spans="1:19" x14ac:dyDescent="0.3">
      <c r="A188">
        <v>187</v>
      </c>
      <c r="B188" t="s">
        <v>810</v>
      </c>
      <c r="C188">
        <v>8.6</v>
      </c>
      <c r="D188" s="2">
        <f t="shared" si="2"/>
        <v>8.5300534216991775</v>
      </c>
      <c r="E188" t="s">
        <v>811</v>
      </c>
      <c r="F188" t="s">
        <v>812</v>
      </c>
      <c r="G188">
        <v>1994</v>
      </c>
      <c r="H188" t="s">
        <v>21</v>
      </c>
      <c r="I188" t="s">
        <v>42</v>
      </c>
      <c r="J188">
        <v>95</v>
      </c>
      <c r="K188" t="s">
        <v>406</v>
      </c>
      <c r="L188" t="s">
        <v>406</v>
      </c>
      <c r="M188">
        <v>94344</v>
      </c>
      <c r="N188">
        <v>546865</v>
      </c>
      <c r="O188" s="1">
        <v>0.48</v>
      </c>
      <c r="P188" s="1">
        <v>0.38500000000000001</v>
      </c>
      <c r="Q188" s="1">
        <v>0.11799999999999999</v>
      </c>
      <c r="R188" s="1">
        <v>1.2999999999999999E-2</v>
      </c>
      <c r="S188" s="1">
        <v>4.0000000000000001E-3</v>
      </c>
    </row>
    <row r="189" spans="1:19" x14ac:dyDescent="0.3">
      <c r="A189">
        <v>188</v>
      </c>
      <c r="B189" t="s">
        <v>813</v>
      </c>
      <c r="C189">
        <v>9.1</v>
      </c>
      <c r="D189" s="2">
        <f t="shared" si="2"/>
        <v>8.8729278040172304</v>
      </c>
      <c r="E189" t="s">
        <v>814</v>
      </c>
      <c r="F189" t="s">
        <v>815</v>
      </c>
      <c r="G189">
        <v>1952</v>
      </c>
      <c r="H189" t="s">
        <v>47</v>
      </c>
      <c r="I189" t="s">
        <v>27</v>
      </c>
      <c r="J189">
        <v>103</v>
      </c>
      <c r="K189" t="s">
        <v>816</v>
      </c>
      <c r="L189" t="s">
        <v>817</v>
      </c>
      <c r="M189">
        <v>50363</v>
      </c>
      <c r="N189">
        <v>206204</v>
      </c>
      <c r="O189" s="1">
        <v>0.62</v>
      </c>
      <c r="P189" s="1">
        <v>0.315</v>
      </c>
      <c r="Q189" s="1">
        <v>6.0999999999999999E-2</v>
      </c>
      <c r="R189" s="1">
        <v>4.0000000000000001E-3</v>
      </c>
      <c r="S189" s="1">
        <v>1E-3</v>
      </c>
    </row>
    <row r="190" spans="1:19" x14ac:dyDescent="0.3">
      <c r="A190">
        <v>189</v>
      </c>
      <c r="B190" t="s">
        <v>818</v>
      </c>
      <c r="C190">
        <v>8.6</v>
      </c>
      <c r="D190" s="2">
        <f t="shared" si="2"/>
        <v>8.5438983100768464</v>
      </c>
      <c r="E190" t="s">
        <v>819</v>
      </c>
      <c r="F190" t="s">
        <v>820</v>
      </c>
      <c r="G190">
        <v>2003</v>
      </c>
      <c r="H190" t="s">
        <v>21</v>
      </c>
      <c r="I190" t="s">
        <v>47</v>
      </c>
      <c r="J190">
        <v>135</v>
      </c>
      <c r="K190" t="s">
        <v>576</v>
      </c>
      <c r="L190" t="s">
        <v>576</v>
      </c>
      <c r="M190">
        <v>180032</v>
      </c>
      <c r="N190">
        <v>687991</v>
      </c>
      <c r="O190" s="1">
        <v>0.46200000000000002</v>
      </c>
      <c r="P190" s="1">
        <v>0.38300000000000001</v>
      </c>
      <c r="Q190" s="1">
        <v>0.13800000000000001</v>
      </c>
      <c r="R190" s="1">
        <v>1.4E-2</v>
      </c>
      <c r="S190" s="1">
        <v>4.0000000000000001E-3</v>
      </c>
    </row>
    <row r="191" spans="1:19" x14ac:dyDescent="0.3">
      <c r="A191">
        <v>190</v>
      </c>
      <c r="B191" t="s">
        <v>821</v>
      </c>
      <c r="C191">
        <v>8.6</v>
      </c>
      <c r="D191" s="2">
        <f t="shared" si="2"/>
        <v>8.5338875758226855</v>
      </c>
      <c r="E191" t="s">
        <v>822</v>
      </c>
      <c r="F191" t="s">
        <v>823</v>
      </c>
      <c r="G191">
        <v>2002</v>
      </c>
      <c r="H191" t="s">
        <v>47</v>
      </c>
      <c r="I191" t="s">
        <v>53</v>
      </c>
      <c r="J191">
        <v>81</v>
      </c>
      <c r="K191" t="s">
        <v>824</v>
      </c>
      <c r="L191" t="s">
        <v>825</v>
      </c>
      <c r="M191">
        <v>56435</v>
      </c>
      <c r="N191">
        <v>580030</v>
      </c>
      <c r="O191" s="1">
        <v>0.432</v>
      </c>
      <c r="P191" s="1">
        <v>0.45400000000000001</v>
      </c>
      <c r="Q191" s="1">
        <v>0.108</v>
      </c>
      <c r="R191" s="1">
        <v>5.0000000000000001E-3</v>
      </c>
      <c r="S191" s="1">
        <v>1E-3</v>
      </c>
    </row>
    <row r="192" spans="1:19" x14ac:dyDescent="0.3">
      <c r="A192">
        <v>191</v>
      </c>
      <c r="B192" t="s">
        <v>826</v>
      </c>
      <c r="C192">
        <v>8.5</v>
      </c>
      <c r="D192" s="2">
        <f t="shared" si="2"/>
        <v>8.4544678567352349</v>
      </c>
      <c r="E192" t="s">
        <v>827</v>
      </c>
      <c r="F192" t="s">
        <v>828</v>
      </c>
      <c r="G192">
        <v>2009</v>
      </c>
      <c r="H192" t="s">
        <v>21</v>
      </c>
      <c r="I192" t="s">
        <v>117</v>
      </c>
      <c r="J192">
        <v>99</v>
      </c>
      <c r="K192" t="s">
        <v>829</v>
      </c>
      <c r="L192" t="s">
        <v>829</v>
      </c>
      <c r="M192">
        <v>172809</v>
      </c>
      <c r="N192">
        <v>798594</v>
      </c>
      <c r="O192" s="1">
        <v>0.42199999999999999</v>
      </c>
      <c r="P192" s="1">
        <v>0.432</v>
      </c>
      <c r="Q192" s="1">
        <v>0.13</v>
      </c>
      <c r="R192" s="1">
        <v>1.2E-2</v>
      </c>
      <c r="S192" s="1">
        <v>3.0000000000000001E-3</v>
      </c>
    </row>
    <row r="193" spans="1:19" x14ac:dyDescent="0.3">
      <c r="A193">
        <v>192</v>
      </c>
      <c r="B193" t="s">
        <v>830</v>
      </c>
      <c r="C193">
        <v>8.9</v>
      </c>
      <c r="D193" s="2">
        <f t="shared" si="2"/>
        <v>8.7522794065053038</v>
      </c>
      <c r="E193" t="s">
        <v>831</v>
      </c>
      <c r="F193" t="s">
        <v>832</v>
      </c>
      <c r="G193">
        <v>1968</v>
      </c>
      <c r="H193" t="s">
        <v>64</v>
      </c>
      <c r="I193" t="s">
        <v>103</v>
      </c>
      <c r="J193">
        <v>149</v>
      </c>
      <c r="K193" t="s">
        <v>833</v>
      </c>
      <c r="L193" t="s">
        <v>834</v>
      </c>
      <c r="M193">
        <v>92272</v>
      </c>
      <c r="N193">
        <v>296553</v>
      </c>
      <c r="O193" s="1">
        <v>0.59199999999999997</v>
      </c>
      <c r="P193" s="1">
        <v>0.28899999999999998</v>
      </c>
      <c r="Q193" s="1">
        <v>9.2999999999999999E-2</v>
      </c>
      <c r="R193" s="1">
        <v>1.7000000000000001E-2</v>
      </c>
      <c r="S193" s="1">
        <v>8.9999999999999993E-3</v>
      </c>
    </row>
    <row r="194" spans="1:19" x14ac:dyDescent="0.3">
      <c r="A194">
        <v>193</v>
      </c>
      <c r="B194" t="s">
        <v>835</v>
      </c>
      <c r="C194">
        <v>8.9</v>
      </c>
      <c r="D194" s="2">
        <f t="shared" ref="D194:D251" si="3">(N194/(N194+25000))*C194+(25000/(N194+25000))*7</f>
        <v>8.7604714010433806</v>
      </c>
      <c r="E194" t="s">
        <v>836</v>
      </c>
      <c r="F194" t="s">
        <v>837</v>
      </c>
      <c r="G194">
        <v>2010</v>
      </c>
      <c r="H194" t="s">
        <v>21</v>
      </c>
      <c r="I194" t="s">
        <v>53</v>
      </c>
      <c r="J194">
        <v>90</v>
      </c>
      <c r="K194" t="s">
        <v>838</v>
      </c>
      <c r="L194" t="s">
        <v>839</v>
      </c>
      <c r="M194">
        <v>88184</v>
      </c>
      <c r="N194">
        <v>315432</v>
      </c>
      <c r="O194" s="1">
        <v>0.54900000000000004</v>
      </c>
      <c r="P194" s="1">
        <v>0.35399999999999998</v>
      </c>
      <c r="Q194" s="1">
        <v>8.8999999999999996E-2</v>
      </c>
      <c r="R194" s="1">
        <v>6.0000000000000001E-3</v>
      </c>
      <c r="S194" s="1">
        <v>2E-3</v>
      </c>
    </row>
    <row r="195" spans="1:19" x14ac:dyDescent="0.3">
      <c r="A195">
        <v>194</v>
      </c>
      <c r="B195" t="s">
        <v>840</v>
      </c>
      <c r="C195">
        <v>8.6</v>
      </c>
      <c r="D195" s="2">
        <f t="shared" si="3"/>
        <v>8.5484137219499612</v>
      </c>
      <c r="E195" t="s">
        <v>841</v>
      </c>
      <c r="F195" t="s">
        <v>842</v>
      </c>
      <c r="G195">
        <v>2010</v>
      </c>
      <c r="H195" t="s">
        <v>21</v>
      </c>
      <c r="I195" t="s">
        <v>103</v>
      </c>
      <c r="J195">
        <v>108</v>
      </c>
      <c r="K195" t="s">
        <v>843</v>
      </c>
      <c r="L195" t="s">
        <v>844</v>
      </c>
      <c r="M195">
        <v>169649</v>
      </c>
      <c r="N195">
        <v>750400</v>
      </c>
      <c r="O195" s="1">
        <v>0.42299999999999999</v>
      </c>
      <c r="P195" s="1">
        <v>0.45200000000000001</v>
      </c>
      <c r="Q195" s="1">
        <v>0.115</v>
      </c>
      <c r="R195" s="1">
        <v>8.0000000000000002E-3</v>
      </c>
      <c r="S195" s="1">
        <v>2E-3</v>
      </c>
    </row>
    <row r="196" spans="1:19" x14ac:dyDescent="0.3">
      <c r="A196">
        <v>195</v>
      </c>
      <c r="B196" t="s">
        <v>845</v>
      </c>
      <c r="C196">
        <v>8.6999999999999993</v>
      </c>
      <c r="D196" s="2">
        <f t="shared" si="3"/>
        <v>8.6082386572184859</v>
      </c>
      <c r="F196" t="s">
        <v>846</v>
      </c>
      <c r="G196">
        <v>2003</v>
      </c>
      <c r="H196" t="s">
        <v>21</v>
      </c>
      <c r="I196" t="s">
        <v>103</v>
      </c>
      <c r="J196">
        <v>119</v>
      </c>
      <c r="K196" t="s">
        <v>104</v>
      </c>
      <c r="L196" t="s">
        <v>105</v>
      </c>
      <c r="M196">
        <v>66594</v>
      </c>
      <c r="N196">
        <v>438158</v>
      </c>
      <c r="O196" s="1">
        <v>0.47299999999999998</v>
      </c>
      <c r="P196" s="1">
        <v>0.41499999999999998</v>
      </c>
      <c r="Q196" s="1">
        <v>0.105</v>
      </c>
      <c r="R196" s="1">
        <v>6.0000000000000001E-3</v>
      </c>
      <c r="S196" s="1">
        <v>1E-3</v>
      </c>
    </row>
    <row r="197" spans="1:19" x14ac:dyDescent="0.3">
      <c r="A197">
        <v>196</v>
      </c>
      <c r="B197" t="s">
        <v>847</v>
      </c>
      <c r="C197">
        <v>8.6999999999999993</v>
      </c>
      <c r="D197" s="2">
        <f t="shared" si="3"/>
        <v>8.6068344085738655</v>
      </c>
      <c r="E197" t="s">
        <v>848</v>
      </c>
      <c r="F197" t="s">
        <v>849</v>
      </c>
      <c r="G197">
        <v>1989</v>
      </c>
      <c r="H197" t="s">
        <v>53</v>
      </c>
      <c r="I197" t="s">
        <v>146</v>
      </c>
      <c r="J197">
        <v>103</v>
      </c>
      <c r="K197" t="s">
        <v>54</v>
      </c>
      <c r="L197" t="s">
        <v>54</v>
      </c>
      <c r="M197">
        <v>67468</v>
      </c>
      <c r="N197">
        <v>431177</v>
      </c>
      <c r="O197" s="1">
        <v>0.46200000000000002</v>
      </c>
      <c r="P197" s="1">
        <v>0.43099999999999999</v>
      </c>
      <c r="Q197" s="1">
        <v>0.10299999999999999</v>
      </c>
      <c r="R197" s="1">
        <v>4.0000000000000001E-3</v>
      </c>
      <c r="S197" s="1">
        <v>1E-3</v>
      </c>
    </row>
    <row r="198" spans="1:19" x14ac:dyDescent="0.3">
      <c r="A198">
        <v>197</v>
      </c>
      <c r="B198" t="s">
        <v>850</v>
      </c>
      <c r="C198">
        <v>8.9</v>
      </c>
      <c r="D198" s="2">
        <f t="shared" si="3"/>
        <v>8.7406355788619035</v>
      </c>
      <c r="E198" t="s">
        <v>851</v>
      </c>
      <c r="F198" t="s">
        <v>852</v>
      </c>
      <c r="G198">
        <v>1991</v>
      </c>
      <c r="H198" t="s">
        <v>21</v>
      </c>
      <c r="I198" t="s">
        <v>22</v>
      </c>
      <c r="J198">
        <v>237</v>
      </c>
      <c r="K198" t="s">
        <v>482</v>
      </c>
      <c r="L198" t="s">
        <v>482</v>
      </c>
      <c r="M198">
        <v>72681</v>
      </c>
      <c r="N198">
        <v>273059</v>
      </c>
      <c r="O198" s="1">
        <v>0.57099999999999995</v>
      </c>
      <c r="P198" s="1">
        <v>0.32700000000000001</v>
      </c>
      <c r="Q198" s="1">
        <v>8.7999999999999995E-2</v>
      </c>
      <c r="R198" s="1">
        <v>1.0999999999999999E-2</v>
      </c>
      <c r="S198" s="1">
        <v>4.0000000000000001E-3</v>
      </c>
    </row>
    <row r="199" spans="1:19" x14ac:dyDescent="0.3">
      <c r="A199">
        <v>198</v>
      </c>
      <c r="B199" t="s">
        <v>853</v>
      </c>
      <c r="C199">
        <v>8.6999999999999993</v>
      </c>
      <c r="D199" s="2">
        <f t="shared" si="3"/>
        <v>8.6044817178007857</v>
      </c>
      <c r="E199" t="s">
        <v>854</v>
      </c>
      <c r="F199" t="s">
        <v>855</v>
      </c>
      <c r="G199">
        <v>2007</v>
      </c>
      <c r="H199" t="s">
        <v>21</v>
      </c>
      <c r="I199" t="s">
        <v>47</v>
      </c>
      <c r="J199">
        <v>97</v>
      </c>
      <c r="K199" t="s">
        <v>142</v>
      </c>
      <c r="L199" t="s">
        <v>856</v>
      </c>
      <c r="M199">
        <v>90253</v>
      </c>
      <c r="N199">
        <v>419941</v>
      </c>
      <c r="O199" s="1">
        <v>0.46899999999999997</v>
      </c>
      <c r="P199" s="1">
        <v>0.42099999999999999</v>
      </c>
      <c r="Q199" s="1">
        <v>0.10299999999999999</v>
      </c>
      <c r="R199" s="1">
        <v>6.0000000000000001E-3</v>
      </c>
      <c r="S199" s="1">
        <v>1E-3</v>
      </c>
    </row>
    <row r="200" spans="1:19" x14ac:dyDescent="0.3">
      <c r="A200">
        <v>199</v>
      </c>
      <c r="B200" t="s">
        <v>857</v>
      </c>
      <c r="C200">
        <v>9.5</v>
      </c>
      <c r="D200" s="2">
        <f t="shared" si="3"/>
        <v>9.0502820630900285</v>
      </c>
      <c r="F200" t="s">
        <v>858</v>
      </c>
      <c r="G200">
        <v>1994</v>
      </c>
      <c r="H200" t="s">
        <v>21</v>
      </c>
      <c r="J200">
        <v>148</v>
      </c>
      <c r="K200" t="s">
        <v>859</v>
      </c>
      <c r="L200" t="s">
        <v>859</v>
      </c>
      <c r="M200">
        <v>37016</v>
      </c>
      <c r="N200">
        <v>113976</v>
      </c>
      <c r="O200" s="1">
        <v>0.76</v>
      </c>
      <c r="P200" s="1">
        <v>0.217</v>
      </c>
      <c r="Q200" s="1">
        <v>2.1000000000000001E-2</v>
      </c>
      <c r="R200" s="1">
        <v>1E-3</v>
      </c>
      <c r="S200" s="1">
        <v>1E-3</v>
      </c>
    </row>
    <row r="201" spans="1:19" x14ac:dyDescent="0.3">
      <c r="A201">
        <v>200</v>
      </c>
      <c r="B201" t="s">
        <v>860</v>
      </c>
      <c r="C201">
        <v>8.6999999999999993</v>
      </c>
      <c r="D201" s="2">
        <f t="shared" si="3"/>
        <v>8.656337485552843</v>
      </c>
      <c r="F201" t="s">
        <v>861</v>
      </c>
      <c r="G201">
        <v>2019</v>
      </c>
      <c r="H201" t="s">
        <v>21</v>
      </c>
      <c r="I201" t="s">
        <v>103</v>
      </c>
      <c r="J201">
        <v>122</v>
      </c>
      <c r="K201" t="s">
        <v>862</v>
      </c>
      <c r="L201" t="s">
        <v>862</v>
      </c>
      <c r="M201">
        <v>258803</v>
      </c>
      <c r="N201">
        <v>948375</v>
      </c>
      <c r="O201" s="1">
        <v>0.502</v>
      </c>
      <c r="P201" s="1">
        <v>0.379</v>
      </c>
      <c r="Q201" s="1">
        <v>0.10199999999999999</v>
      </c>
      <c r="R201" s="1">
        <v>1.2E-2</v>
      </c>
      <c r="S201" s="1">
        <v>6.0000000000000001E-3</v>
      </c>
    </row>
    <row r="202" spans="1:19" x14ac:dyDescent="0.3">
      <c r="A202">
        <v>201</v>
      </c>
      <c r="B202" t="s">
        <v>863</v>
      </c>
      <c r="C202">
        <v>8.6999999999999993</v>
      </c>
      <c r="D202" s="2">
        <f t="shared" si="3"/>
        <v>8.5960170874508535</v>
      </c>
      <c r="E202" t="s">
        <v>864</v>
      </c>
      <c r="F202" t="s">
        <v>865</v>
      </c>
      <c r="G202">
        <v>1988</v>
      </c>
      <c r="H202" t="s">
        <v>21</v>
      </c>
      <c r="J202">
        <v>133</v>
      </c>
      <c r="K202" t="s">
        <v>866</v>
      </c>
      <c r="L202" t="s">
        <v>867</v>
      </c>
      <c r="M202">
        <v>64109</v>
      </c>
      <c r="N202">
        <v>383721</v>
      </c>
      <c r="O202" s="1">
        <v>0.47099999999999997</v>
      </c>
      <c r="P202" s="1">
        <v>0.435</v>
      </c>
      <c r="Q202" s="1">
        <v>8.8999999999999996E-2</v>
      </c>
      <c r="R202" s="1">
        <v>4.0000000000000001E-3</v>
      </c>
      <c r="S202" s="1">
        <v>1E-3</v>
      </c>
    </row>
    <row r="203" spans="1:19" x14ac:dyDescent="0.3">
      <c r="A203">
        <v>202</v>
      </c>
      <c r="B203" t="s">
        <v>868</v>
      </c>
      <c r="C203">
        <v>8.6999999999999993</v>
      </c>
      <c r="D203" s="2">
        <f t="shared" si="3"/>
        <v>8.6043994259466707</v>
      </c>
      <c r="E203" t="s">
        <v>869</v>
      </c>
      <c r="F203" t="s">
        <v>870</v>
      </c>
      <c r="G203">
        <v>2017</v>
      </c>
      <c r="H203" t="s">
        <v>21</v>
      </c>
      <c r="I203" t="s">
        <v>47</v>
      </c>
      <c r="J203">
        <v>102</v>
      </c>
      <c r="K203" t="s">
        <v>871</v>
      </c>
      <c r="L203" t="s">
        <v>871</v>
      </c>
      <c r="M203">
        <v>115077</v>
      </c>
      <c r="N203">
        <v>419558</v>
      </c>
      <c r="O203" s="1">
        <v>0.48299999999999998</v>
      </c>
      <c r="P203" s="1">
        <v>0.41699999999999998</v>
      </c>
      <c r="Q203" s="1">
        <v>8.7999999999999995E-2</v>
      </c>
      <c r="R203" s="1">
        <v>8.0000000000000002E-3</v>
      </c>
      <c r="S203" s="1">
        <v>3.0000000000000001E-3</v>
      </c>
    </row>
    <row r="204" spans="1:19" x14ac:dyDescent="0.3">
      <c r="A204">
        <v>203</v>
      </c>
      <c r="B204" t="s">
        <v>872</v>
      </c>
      <c r="C204">
        <v>8.9</v>
      </c>
      <c r="D204" s="2">
        <f t="shared" si="3"/>
        <v>8.7468226173661243</v>
      </c>
      <c r="E204" t="s">
        <v>873</v>
      </c>
      <c r="F204" t="s">
        <v>874</v>
      </c>
      <c r="G204">
        <v>2004</v>
      </c>
      <c r="H204" t="s">
        <v>21</v>
      </c>
      <c r="I204" t="s">
        <v>22</v>
      </c>
      <c r="J204">
        <v>85</v>
      </c>
      <c r="K204" t="s">
        <v>875</v>
      </c>
      <c r="L204" t="s">
        <v>875</v>
      </c>
      <c r="M204">
        <v>52688</v>
      </c>
      <c r="N204">
        <v>285098</v>
      </c>
      <c r="O204" s="1">
        <v>0.53</v>
      </c>
      <c r="P204" s="1">
        <v>0.38100000000000001</v>
      </c>
      <c r="Q204" s="1">
        <v>8.1000000000000003E-2</v>
      </c>
      <c r="R204" s="1">
        <v>5.0000000000000001E-3</v>
      </c>
      <c r="S204" s="1">
        <v>2E-3</v>
      </c>
    </row>
    <row r="205" spans="1:19" x14ac:dyDescent="0.3">
      <c r="A205">
        <v>204</v>
      </c>
      <c r="B205" t="s">
        <v>876</v>
      </c>
      <c r="C205">
        <v>8.6</v>
      </c>
      <c r="D205" s="2">
        <f t="shared" si="3"/>
        <v>8.5391403575503997</v>
      </c>
      <c r="E205" t="s">
        <v>877</v>
      </c>
      <c r="F205" t="s">
        <v>878</v>
      </c>
      <c r="G205">
        <v>2004</v>
      </c>
      <c r="H205" t="s">
        <v>21</v>
      </c>
      <c r="I205" t="s">
        <v>27</v>
      </c>
      <c r="J205">
        <v>123</v>
      </c>
      <c r="K205" t="s">
        <v>879</v>
      </c>
      <c r="L205" t="s">
        <v>880</v>
      </c>
      <c r="M205">
        <v>154537</v>
      </c>
      <c r="N205">
        <v>632250</v>
      </c>
      <c r="O205" s="1">
        <v>0.44600000000000001</v>
      </c>
      <c r="P205" s="1">
        <v>0.40400000000000003</v>
      </c>
      <c r="Q205" s="1">
        <v>0.13400000000000001</v>
      </c>
      <c r="R205" s="1">
        <v>1.2999999999999999E-2</v>
      </c>
      <c r="S205" s="1">
        <v>3.0000000000000001E-3</v>
      </c>
    </row>
    <row r="206" spans="1:19" x14ac:dyDescent="0.3">
      <c r="A206">
        <v>205</v>
      </c>
      <c r="B206" t="s">
        <v>881</v>
      </c>
      <c r="C206">
        <v>9.3000000000000007</v>
      </c>
      <c r="D206" s="2">
        <f t="shared" si="3"/>
        <v>8.9407821578059608</v>
      </c>
      <c r="E206" t="s">
        <v>882</v>
      </c>
      <c r="F206" t="s">
        <v>883</v>
      </c>
      <c r="G206">
        <v>1931</v>
      </c>
      <c r="H206" t="s">
        <v>21</v>
      </c>
      <c r="I206" t="s">
        <v>47</v>
      </c>
      <c r="J206">
        <v>87</v>
      </c>
      <c r="K206" t="s">
        <v>410</v>
      </c>
      <c r="L206" t="s">
        <v>410</v>
      </c>
      <c r="M206">
        <v>28807</v>
      </c>
      <c r="N206">
        <v>135070</v>
      </c>
      <c r="O206" s="1">
        <v>0.70699999999999996</v>
      </c>
      <c r="P206" s="1">
        <v>0.252</v>
      </c>
      <c r="Q206" s="1">
        <v>3.7999999999999999E-2</v>
      </c>
      <c r="R206" s="1">
        <v>2E-3</v>
      </c>
      <c r="S206" s="1">
        <v>1E-3</v>
      </c>
    </row>
    <row r="207" spans="1:19" x14ac:dyDescent="0.3">
      <c r="A207">
        <v>206</v>
      </c>
      <c r="B207" t="s">
        <v>884</v>
      </c>
      <c r="C207">
        <v>9</v>
      </c>
      <c r="D207" s="2">
        <f t="shared" si="3"/>
        <v>8.7801627674869529</v>
      </c>
      <c r="F207" t="s">
        <v>885</v>
      </c>
      <c r="G207">
        <v>2003</v>
      </c>
      <c r="H207" t="s">
        <v>21</v>
      </c>
      <c r="I207" t="s">
        <v>47</v>
      </c>
      <c r="J207">
        <v>92</v>
      </c>
      <c r="K207" t="s">
        <v>444</v>
      </c>
      <c r="L207" t="s">
        <v>444</v>
      </c>
      <c r="M207">
        <v>59076</v>
      </c>
      <c r="N207">
        <v>202441</v>
      </c>
      <c r="O207" s="1">
        <v>0.59599999999999997</v>
      </c>
      <c r="P207" s="1">
        <v>0.33400000000000002</v>
      </c>
      <c r="Q207" s="1">
        <v>6.4000000000000001E-2</v>
      </c>
      <c r="R207" s="1">
        <v>4.0000000000000001E-3</v>
      </c>
      <c r="S207" s="1">
        <v>1E-3</v>
      </c>
    </row>
    <row r="208" spans="1:19" x14ac:dyDescent="0.3">
      <c r="A208">
        <v>207</v>
      </c>
      <c r="B208" t="s">
        <v>886</v>
      </c>
      <c r="C208">
        <v>8.5</v>
      </c>
      <c r="D208" s="2">
        <f t="shared" si="3"/>
        <v>8.454125690714184</v>
      </c>
      <c r="E208" t="s">
        <v>887</v>
      </c>
      <c r="F208" t="s">
        <v>888</v>
      </c>
      <c r="G208">
        <v>2011</v>
      </c>
      <c r="H208" t="s">
        <v>64</v>
      </c>
      <c r="I208" t="s">
        <v>117</v>
      </c>
      <c r="J208">
        <v>93</v>
      </c>
      <c r="K208" t="s">
        <v>889</v>
      </c>
      <c r="L208" t="s">
        <v>890</v>
      </c>
      <c r="M208">
        <v>163902</v>
      </c>
      <c r="N208">
        <v>792451</v>
      </c>
      <c r="O208" s="1">
        <v>0.39500000000000002</v>
      </c>
      <c r="P208" s="1">
        <v>0.47799999999999998</v>
      </c>
      <c r="Q208" s="1">
        <v>0.11899999999999999</v>
      </c>
      <c r="R208" s="1">
        <v>6.0000000000000001E-3</v>
      </c>
      <c r="S208" s="1">
        <v>1E-3</v>
      </c>
    </row>
    <row r="209" spans="1:19" x14ac:dyDescent="0.3">
      <c r="A209">
        <v>208</v>
      </c>
      <c r="B209" t="s">
        <v>891</v>
      </c>
      <c r="C209">
        <v>8.6999999999999993</v>
      </c>
      <c r="D209" s="2">
        <f t="shared" si="3"/>
        <v>8.5972787323470481</v>
      </c>
      <c r="E209" t="s">
        <v>892</v>
      </c>
      <c r="F209" t="s">
        <v>893</v>
      </c>
      <c r="G209">
        <v>1988</v>
      </c>
      <c r="H209" t="s">
        <v>21</v>
      </c>
      <c r="I209" t="s">
        <v>53</v>
      </c>
      <c r="J209">
        <v>89</v>
      </c>
      <c r="K209" t="s">
        <v>894</v>
      </c>
      <c r="L209" t="s">
        <v>894</v>
      </c>
      <c r="M209">
        <v>80168</v>
      </c>
      <c r="N209">
        <v>388741</v>
      </c>
      <c r="O209" s="1">
        <v>0.53900000000000003</v>
      </c>
      <c r="P209" s="1">
        <v>0.32700000000000001</v>
      </c>
      <c r="Q209" s="1">
        <v>0.1</v>
      </c>
      <c r="R209" s="1">
        <v>1.7000000000000001E-2</v>
      </c>
      <c r="S209" s="1">
        <v>1.7000000000000001E-2</v>
      </c>
    </row>
    <row r="210" spans="1:19" x14ac:dyDescent="0.3">
      <c r="A210">
        <v>209</v>
      </c>
      <c r="B210" t="s">
        <v>895</v>
      </c>
      <c r="C210">
        <v>8.9</v>
      </c>
      <c r="D210" s="2">
        <f t="shared" si="3"/>
        <v>8.7201724829826386</v>
      </c>
      <c r="E210" t="s">
        <v>896</v>
      </c>
      <c r="F210" t="s">
        <v>897</v>
      </c>
      <c r="G210">
        <v>1966</v>
      </c>
      <c r="H210" t="s">
        <v>47</v>
      </c>
      <c r="I210" t="s">
        <v>313</v>
      </c>
      <c r="J210">
        <v>132</v>
      </c>
      <c r="K210" t="s">
        <v>898</v>
      </c>
      <c r="L210" t="s">
        <v>898</v>
      </c>
      <c r="M210">
        <v>46278</v>
      </c>
      <c r="N210">
        <v>239142</v>
      </c>
      <c r="O210" s="1">
        <v>0.57399999999999995</v>
      </c>
      <c r="P210" s="1">
        <v>0.32900000000000001</v>
      </c>
      <c r="Q210" s="1">
        <v>8.5999999999999993E-2</v>
      </c>
      <c r="R210" s="1">
        <v>8.0000000000000002E-3</v>
      </c>
      <c r="S210" s="1">
        <v>3.0000000000000001E-3</v>
      </c>
    </row>
    <row r="211" spans="1:19" x14ac:dyDescent="0.3">
      <c r="A211">
        <v>210</v>
      </c>
      <c r="B211" t="s">
        <v>899</v>
      </c>
      <c r="C211">
        <v>8.5</v>
      </c>
      <c r="D211" s="2">
        <f t="shared" si="3"/>
        <v>8.4611781951898237</v>
      </c>
      <c r="E211" t="s">
        <v>900</v>
      </c>
      <c r="F211" t="s">
        <v>901</v>
      </c>
      <c r="G211">
        <v>2010</v>
      </c>
      <c r="H211" t="s">
        <v>21</v>
      </c>
      <c r="I211" t="s">
        <v>47</v>
      </c>
      <c r="J211">
        <v>118</v>
      </c>
      <c r="K211" t="s">
        <v>902</v>
      </c>
      <c r="L211" t="s">
        <v>902</v>
      </c>
      <c r="M211">
        <v>228918</v>
      </c>
      <c r="N211">
        <v>940952</v>
      </c>
      <c r="O211" s="1">
        <v>0.41599999999999998</v>
      </c>
      <c r="P211" s="1">
        <v>0.41899999999999998</v>
      </c>
      <c r="Q211" s="1">
        <v>0.14799999999999999</v>
      </c>
      <c r="R211" s="1">
        <v>1.2999999999999999E-2</v>
      </c>
      <c r="S211" s="1">
        <v>3.0000000000000001E-3</v>
      </c>
    </row>
    <row r="212" spans="1:19" x14ac:dyDescent="0.3">
      <c r="A212">
        <v>211</v>
      </c>
      <c r="B212" t="s">
        <v>903</v>
      </c>
      <c r="C212">
        <v>8.6999999999999993</v>
      </c>
      <c r="D212" s="2">
        <f t="shared" si="3"/>
        <v>8.604317207593386</v>
      </c>
      <c r="E212" t="s">
        <v>904</v>
      </c>
      <c r="F212" t="s">
        <v>905</v>
      </c>
      <c r="G212">
        <v>2001</v>
      </c>
      <c r="H212" t="s">
        <v>21</v>
      </c>
      <c r="I212" t="s">
        <v>64</v>
      </c>
      <c r="J212">
        <v>146</v>
      </c>
      <c r="K212" t="s">
        <v>59</v>
      </c>
      <c r="L212" t="s">
        <v>906</v>
      </c>
      <c r="M212">
        <v>91562</v>
      </c>
      <c r="N212">
        <v>419176</v>
      </c>
      <c r="O212" s="1">
        <v>0.48499999999999999</v>
      </c>
      <c r="P212" s="1">
        <v>0.38600000000000001</v>
      </c>
      <c r="Q212" s="1">
        <v>0.115</v>
      </c>
      <c r="R212" s="1">
        <v>1.0999999999999999E-2</v>
      </c>
      <c r="S212" s="1">
        <v>3.0000000000000001E-3</v>
      </c>
    </row>
    <row r="213" spans="1:19" x14ac:dyDescent="0.3">
      <c r="A213">
        <v>212</v>
      </c>
      <c r="B213" t="s">
        <v>907</v>
      </c>
      <c r="C213">
        <v>8.6</v>
      </c>
      <c r="D213" s="2">
        <f t="shared" si="3"/>
        <v>8.5213383493245907</v>
      </c>
      <c r="E213" t="s">
        <v>908</v>
      </c>
      <c r="F213" t="s">
        <v>909</v>
      </c>
      <c r="G213">
        <v>2016</v>
      </c>
      <c r="H213" t="s">
        <v>21</v>
      </c>
      <c r="I213" t="s">
        <v>132</v>
      </c>
      <c r="J213">
        <v>137</v>
      </c>
      <c r="K213" t="s">
        <v>910</v>
      </c>
      <c r="L213" t="s">
        <v>910</v>
      </c>
      <c r="M213">
        <v>155506</v>
      </c>
      <c r="N213">
        <v>483507</v>
      </c>
      <c r="O213" s="1">
        <v>0.438</v>
      </c>
      <c r="P213" s="1">
        <v>0.435</v>
      </c>
      <c r="Q213" s="1">
        <v>0.115</v>
      </c>
      <c r="R213" s="1">
        <v>0.01</v>
      </c>
      <c r="S213" s="1">
        <v>2E-3</v>
      </c>
    </row>
    <row r="214" spans="1:19" x14ac:dyDescent="0.3">
      <c r="A214">
        <v>213</v>
      </c>
      <c r="B214" t="s">
        <v>911</v>
      </c>
      <c r="C214">
        <v>8.6999999999999993</v>
      </c>
      <c r="D214" s="2">
        <f t="shared" si="3"/>
        <v>8.6542501601244393</v>
      </c>
      <c r="F214" t="s">
        <v>912</v>
      </c>
      <c r="G214">
        <v>2020</v>
      </c>
      <c r="H214" t="s">
        <v>53</v>
      </c>
      <c r="I214" t="s">
        <v>83</v>
      </c>
      <c r="J214">
        <v>101</v>
      </c>
      <c r="K214" t="s">
        <v>188</v>
      </c>
      <c r="L214" t="s">
        <v>188</v>
      </c>
      <c r="M214">
        <v>340931</v>
      </c>
      <c r="N214">
        <v>903965</v>
      </c>
      <c r="O214" s="1">
        <v>0.48599999999999999</v>
      </c>
      <c r="P214" s="1">
        <v>0.38500000000000001</v>
      </c>
      <c r="Q214" s="1">
        <v>0.11899999999999999</v>
      </c>
      <c r="R214" s="1">
        <v>8.0000000000000002E-3</v>
      </c>
      <c r="S214" s="1">
        <v>2E-3</v>
      </c>
    </row>
    <row r="215" spans="1:19" x14ac:dyDescent="0.3">
      <c r="A215">
        <v>214</v>
      </c>
      <c r="B215" t="s">
        <v>913</v>
      </c>
      <c r="C215">
        <v>8.8000000000000007</v>
      </c>
      <c r="D215" s="2">
        <f t="shared" si="3"/>
        <v>8.6594501063494196</v>
      </c>
      <c r="E215" t="s">
        <v>914</v>
      </c>
      <c r="F215" t="s">
        <v>915</v>
      </c>
      <c r="G215">
        <v>1950</v>
      </c>
      <c r="H215" t="s">
        <v>21</v>
      </c>
      <c r="I215" t="s">
        <v>117</v>
      </c>
      <c r="J215">
        <v>88</v>
      </c>
      <c r="K215" t="s">
        <v>684</v>
      </c>
      <c r="L215" t="s">
        <v>684</v>
      </c>
      <c r="M215">
        <v>68589</v>
      </c>
      <c r="N215">
        <v>295171</v>
      </c>
      <c r="O215" s="1">
        <v>0.51900000000000002</v>
      </c>
      <c r="P215" s="1">
        <v>0.38200000000000001</v>
      </c>
      <c r="Q215" s="1">
        <v>8.8999999999999996E-2</v>
      </c>
      <c r="R215" s="1">
        <v>7.0000000000000001E-3</v>
      </c>
      <c r="S215" s="1">
        <v>3.0000000000000001E-3</v>
      </c>
    </row>
    <row r="216" spans="1:19" x14ac:dyDescent="0.3">
      <c r="A216">
        <v>215</v>
      </c>
      <c r="B216" t="s">
        <v>916</v>
      </c>
      <c r="C216">
        <v>8.6</v>
      </c>
      <c r="D216" s="2">
        <f t="shared" si="3"/>
        <v>8.5228567681614464</v>
      </c>
      <c r="E216" t="s">
        <v>917</v>
      </c>
      <c r="F216" t="s">
        <v>918</v>
      </c>
      <c r="G216">
        <v>1993</v>
      </c>
      <c r="H216" t="s">
        <v>21</v>
      </c>
      <c r="I216" t="s">
        <v>27</v>
      </c>
      <c r="J216">
        <v>99</v>
      </c>
      <c r="K216" t="s">
        <v>919</v>
      </c>
      <c r="L216" t="s">
        <v>920</v>
      </c>
      <c r="M216">
        <v>93463</v>
      </c>
      <c r="N216">
        <v>493516</v>
      </c>
      <c r="O216" s="1">
        <v>0.44500000000000001</v>
      </c>
      <c r="P216" s="1">
        <v>0.42699999999999999</v>
      </c>
      <c r="Q216" s="1">
        <v>0.11899999999999999</v>
      </c>
      <c r="R216" s="1">
        <v>8.0000000000000002E-3</v>
      </c>
      <c r="S216" s="1">
        <v>1E-3</v>
      </c>
    </row>
    <row r="217" spans="1:19" x14ac:dyDescent="0.3">
      <c r="A217">
        <v>216</v>
      </c>
      <c r="B217" t="s">
        <v>921</v>
      </c>
      <c r="C217">
        <v>8.6</v>
      </c>
      <c r="D217" s="2">
        <f t="shared" si="3"/>
        <v>8.532231071714774</v>
      </c>
      <c r="F217" t="s">
        <v>922</v>
      </c>
      <c r="G217">
        <v>2018</v>
      </c>
      <c r="H217" t="s">
        <v>21</v>
      </c>
      <c r="I217" t="s">
        <v>671</v>
      </c>
      <c r="J217">
        <v>135</v>
      </c>
      <c r="K217" t="s">
        <v>923</v>
      </c>
      <c r="L217" t="s">
        <v>924</v>
      </c>
      <c r="M217">
        <v>166810</v>
      </c>
      <c r="N217">
        <v>565241</v>
      </c>
      <c r="O217" s="1">
        <v>0.47799999999999998</v>
      </c>
      <c r="P217" s="1">
        <v>0.38600000000000001</v>
      </c>
      <c r="Q217" s="1">
        <v>0.12</v>
      </c>
      <c r="R217" s="1">
        <v>1.2999999999999999E-2</v>
      </c>
      <c r="S217" s="1">
        <v>2E-3</v>
      </c>
    </row>
    <row r="218" spans="1:19" x14ac:dyDescent="0.3">
      <c r="A218">
        <v>217</v>
      </c>
      <c r="B218" t="s">
        <v>925</v>
      </c>
      <c r="C218">
        <v>8.8000000000000007</v>
      </c>
      <c r="D218" s="2">
        <f t="shared" si="3"/>
        <v>8.6703689300251483</v>
      </c>
      <c r="E218" t="s">
        <v>926</v>
      </c>
      <c r="F218" t="s">
        <v>927</v>
      </c>
      <c r="G218">
        <v>1991</v>
      </c>
      <c r="H218" t="s">
        <v>42</v>
      </c>
      <c r="I218" t="s">
        <v>64</v>
      </c>
      <c r="J218">
        <v>137</v>
      </c>
      <c r="K218" t="s">
        <v>38</v>
      </c>
      <c r="L218" t="s">
        <v>38</v>
      </c>
      <c r="M218">
        <v>37346</v>
      </c>
      <c r="N218">
        <v>322139</v>
      </c>
      <c r="O218" s="1">
        <v>0.499</v>
      </c>
      <c r="P218" s="1">
        <v>0.39400000000000002</v>
      </c>
      <c r="Q218" s="1">
        <v>0.10100000000000001</v>
      </c>
      <c r="R218" s="1">
        <v>5.0000000000000001E-3</v>
      </c>
      <c r="S218" s="1">
        <v>1E-3</v>
      </c>
    </row>
    <row r="219" spans="1:19" x14ac:dyDescent="0.3">
      <c r="A219">
        <v>218</v>
      </c>
      <c r="B219" t="s">
        <v>928</v>
      </c>
      <c r="C219">
        <v>8.6999999999999993</v>
      </c>
      <c r="D219" s="2">
        <f t="shared" si="3"/>
        <v>8.6184600655772918</v>
      </c>
      <c r="E219" t="s">
        <v>929</v>
      </c>
      <c r="F219" t="s">
        <v>930</v>
      </c>
      <c r="G219">
        <v>2015</v>
      </c>
      <c r="H219" t="s">
        <v>42</v>
      </c>
      <c r="I219" t="s">
        <v>64</v>
      </c>
      <c r="J219">
        <v>120</v>
      </c>
      <c r="K219" t="s">
        <v>931</v>
      </c>
      <c r="L219" t="s">
        <v>931</v>
      </c>
      <c r="M219">
        <v>126506</v>
      </c>
      <c r="N219">
        <v>496217</v>
      </c>
      <c r="O219" s="1">
        <v>0.48699999999999999</v>
      </c>
      <c r="P219" s="1">
        <v>0.376</v>
      </c>
      <c r="Q219" s="1">
        <v>0.11799999999999999</v>
      </c>
      <c r="R219" s="1">
        <v>1.4E-2</v>
      </c>
      <c r="S219" s="1">
        <v>5.0000000000000001E-3</v>
      </c>
    </row>
    <row r="220" spans="1:19" x14ac:dyDescent="0.3">
      <c r="A220">
        <v>219</v>
      </c>
      <c r="B220" t="s">
        <v>932</v>
      </c>
      <c r="C220">
        <v>8.6999999999999993</v>
      </c>
      <c r="D220" s="2">
        <f t="shared" si="3"/>
        <v>8.6039128930810502</v>
      </c>
      <c r="E220" t="s">
        <v>933</v>
      </c>
      <c r="F220" t="s">
        <v>934</v>
      </c>
      <c r="G220">
        <v>1992</v>
      </c>
      <c r="H220" t="s">
        <v>42</v>
      </c>
      <c r="I220" t="s">
        <v>27</v>
      </c>
      <c r="J220">
        <v>88</v>
      </c>
      <c r="K220" t="s">
        <v>935</v>
      </c>
      <c r="L220" t="s">
        <v>919</v>
      </c>
      <c r="M220">
        <v>62673</v>
      </c>
      <c r="N220">
        <v>417307</v>
      </c>
      <c r="O220" s="1">
        <v>0.44700000000000001</v>
      </c>
      <c r="P220" s="1">
        <v>0.44400000000000001</v>
      </c>
      <c r="Q220" s="1">
        <v>0.10299999999999999</v>
      </c>
      <c r="R220" s="1">
        <v>5.0000000000000001E-3</v>
      </c>
      <c r="S220" s="1">
        <v>1E-3</v>
      </c>
    </row>
    <row r="221" spans="1:19" x14ac:dyDescent="0.3">
      <c r="A221">
        <v>220</v>
      </c>
      <c r="B221" t="s">
        <v>936</v>
      </c>
      <c r="C221">
        <v>8.6</v>
      </c>
      <c r="D221" s="2">
        <f t="shared" si="3"/>
        <v>8.5276242104253708</v>
      </c>
      <c r="E221" t="s">
        <v>937</v>
      </c>
      <c r="F221" t="s">
        <v>938</v>
      </c>
      <c r="G221">
        <v>2017</v>
      </c>
      <c r="H221" t="s">
        <v>21</v>
      </c>
      <c r="I221" t="s">
        <v>132</v>
      </c>
      <c r="J221">
        <v>113</v>
      </c>
      <c r="K221" t="s">
        <v>939</v>
      </c>
      <c r="L221" t="s">
        <v>939</v>
      </c>
      <c r="M221">
        <v>141762</v>
      </c>
      <c r="N221">
        <v>527671</v>
      </c>
      <c r="O221" s="1">
        <v>0.43</v>
      </c>
      <c r="P221" s="1">
        <v>0.443</v>
      </c>
      <c r="Q221" s="1">
        <v>0.12</v>
      </c>
      <c r="R221" s="1">
        <v>7.0000000000000001E-3</v>
      </c>
      <c r="S221" s="1">
        <v>1E-3</v>
      </c>
    </row>
    <row r="222" spans="1:19" x14ac:dyDescent="0.3">
      <c r="A222">
        <v>221</v>
      </c>
      <c r="B222" t="s">
        <v>940</v>
      </c>
      <c r="C222">
        <v>8.6999999999999993</v>
      </c>
      <c r="D222" s="2">
        <f t="shared" si="3"/>
        <v>8.5607397504456326</v>
      </c>
      <c r="E222" t="s">
        <v>941</v>
      </c>
      <c r="F222" t="s">
        <v>942</v>
      </c>
      <c r="G222">
        <v>2015</v>
      </c>
      <c r="H222" t="s">
        <v>381</v>
      </c>
      <c r="J222">
        <v>99</v>
      </c>
      <c r="K222" t="s">
        <v>943</v>
      </c>
      <c r="M222">
        <v>76668</v>
      </c>
      <c r="N222">
        <v>280184</v>
      </c>
      <c r="O222" s="1">
        <v>0.50700000000000001</v>
      </c>
      <c r="P222" s="1">
        <v>0.34899999999999998</v>
      </c>
      <c r="Q222" s="1">
        <v>0.123</v>
      </c>
      <c r="R222" s="1">
        <v>1.6E-2</v>
      </c>
      <c r="S222" s="1">
        <v>5.0000000000000001E-3</v>
      </c>
    </row>
    <row r="223" spans="1:19" x14ac:dyDescent="0.3">
      <c r="A223">
        <v>222</v>
      </c>
      <c r="B223" t="s">
        <v>944</v>
      </c>
      <c r="C223">
        <v>8.6</v>
      </c>
      <c r="D223" s="2">
        <f t="shared" si="3"/>
        <v>8.5151909898907654</v>
      </c>
      <c r="E223" t="s">
        <v>945</v>
      </c>
      <c r="F223" t="s">
        <v>946</v>
      </c>
      <c r="G223">
        <v>2009</v>
      </c>
      <c r="H223" t="s">
        <v>21</v>
      </c>
      <c r="I223" t="s">
        <v>22</v>
      </c>
      <c r="J223">
        <v>153</v>
      </c>
      <c r="K223" t="s">
        <v>402</v>
      </c>
      <c r="L223" t="s">
        <v>402</v>
      </c>
      <c r="M223">
        <v>94615</v>
      </c>
      <c r="N223">
        <v>446648</v>
      </c>
      <c r="O223" s="1">
        <v>0.45300000000000001</v>
      </c>
      <c r="P223" s="1">
        <v>0.42799999999999999</v>
      </c>
      <c r="Q223" s="1">
        <v>0.106</v>
      </c>
      <c r="R223" s="1">
        <v>8.9999999999999993E-3</v>
      </c>
      <c r="S223" s="1">
        <v>3.0000000000000001E-3</v>
      </c>
    </row>
    <row r="224" spans="1:19" x14ac:dyDescent="0.3">
      <c r="A224">
        <v>223</v>
      </c>
      <c r="B224" t="s">
        <v>947</v>
      </c>
      <c r="C224">
        <v>8.8000000000000007</v>
      </c>
      <c r="D224" s="2">
        <f t="shared" si="3"/>
        <v>8.6814379208953802</v>
      </c>
      <c r="E224" t="s">
        <v>948</v>
      </c>
      <c r="F224" t="s">
        <v>949</v>
      </c>
      <c r="G224">
        <v>2015</v>
      </c>
      <c r="H224" t="s">
        <v>21</v>
      </c>
      <c r="I224" t="s">
        <v>132</v>
      </c>
      <c r="J224">
        <v>118</v>
      </c>
      <c r="K224" t="s">
        <v>950</v>
      </c>
      <c r="L224" t="s">
        <v>951</v>
      </c>
      <c r="M224">
        <v>89785</v>
      </c>
      <c r="N224">
        <v>354548</v>
      </c>
      <c r="O224" s="1">
        <v>0.47799999999999998</v>
      </c>
      <c r="P224" s="1">
        <v>0.436</v>
      </c>
      <c r="Q224" s="1">
        <v>8.1000000000000003E-2</v>
      </c>
      <c r="R224" s="1">
        <v>4.0000000000000001E-3</v>
      </c>
      <c r="S224" s="1">
        <v>1E-3</v>
      </c>
    </row>
    <row r="225" spans="1:19" x14ac:dyDescent="0.3">
      <c r="A225">
        <v>224</v>
      </c>
      <c r="B225" t="s">
        <v>952</v>
      </c>
      <c r="C225">
        <v>8.8000000000000007</v>
      </c>
      <c r="D225" s="2">
        <f t="shared" si="3"/>
        <v>8.6489167329754348</v>
      </c>
      <c r="E225" t="s">
        <v>953</v>
      </c>
      <c r="F225" t="s">
        <v>954</v>
      </c>
      <c r="G225">
        <v>1997</v>
      </c>
      <c r="H225" t="s">
        <v>21</v>
      </c>
      <c r="I225" t="s">
        <v>64</v>
      </c>
      <c r="J225">
        <v>106</v>
      </c>
      <c r="K225" t="s">
        <v>79</v>
      </c>
      <c r="L225" t="s">
        <v>79</v>
      </c>
      <c r="M225">
        <v>72577</v>
      </c>
      <c r="N225">
        <v>272849</v>
      </c>
      <c r="O225" s="1">
        <v>0.50800000000000001</v>
      </c>
      <c r="P225" s="1">
        <v>0.4</v>
      </c>
      <c r="Q225" s="1">
        <v>8.5999999999999993E-2</v>
      </c>
      <c r="R225" s="1">
        <v>5.0000000000000001E-3</v>
      </c>
      <c r="S225" s="1">
        <v>1E-3</v>
      </c>
    </row>
    <row r="226" spans="1:19" x14ac:dyDescent="0.3">
      <c r="A226">
        <v>225</v>
      </c>
      <c r="B226" t="s">
        <v>955</v>
      </c>
      <c r="C226">
        <v>8.6999999999999993</v>
      </c>
      <c r="D226" s="2">
        <f t="shared" si="3"/>
        <v>8.5889806068711856</v>
      </c>
      <c r="E226" t="s">
        <v>956</v>
      </c>
      <c r="F226" t="s">
        <v>957</v>
      </c>
      <c r="G226">
        <v>2006</v>
      </c>
      <c r="H226" t="s">
        <v>21</v>
      </c>
      <c r="I226" t="s">
        <v>103</v>
      </c>
      <c r="J226">
        <v>143</v>
      </c>
      <c r="K226" t="s">
        <v>958</v>
      </c>
      <c r="L226" t="s">
        <v>959</v>
      </c>
      <c r="M226">
        <v>57585</v>
      </c>
      <c r="N226">
        <v>357816</v>
      </c>
      <c r="O226" s="1">
        <v>0.44800000000000001</v>
      </c>
      <c r="P226" s="1">
        <v>0.45400000000000001</v>
      </c>
      <c r="Q226" s="1">
        <v>9.1999999999999998E-2</v>
      </c>
      <c r="R226" s="1">
        <v>4.0000000000000001E-3</v>
      </c>
      <c r="S226" s="1">
        <v>1E-3</v>
      </c>
    </row>
    <row r="227" spans="1:19" x14ac:dyDescent="0.3">
      <c r="A227">
        <v>226</v>
      </c>
      <c r="B227" t="s">
        <v>960</v>
      </c>
      <c r="C227">
        <v>8.6</v>
      </c>
      <c r="D227" s="2">
        <f t="shared" si="3"/>
        <v>8.5168888159357383</v>
      </c>
      <c r="F227" t="s">
        <v>961</v>
      </c>
      <c r="G227">
        <v>2008</v>
      </c>
      <c r="H227" t="s">
        <v>53</v>
      </c>
      <c r="I227" t="s">
        <v>146</v>
      </c>
      <c r="J227">
        <v>101</v>
      </c>
      <c r="K227" t="s">
        <v>54</v>
      </c>
      <c r="L227" t="s">
        <v>54</v>
      </c>
      <c r="M227">
        <v>93007</v>
      </c>
      <c r="N227">
        <v>456283</v>
      </c>
      <c r="O227" s="1">
        <v>0.44600000000000001</v>
      </c>
      <c r="P227" s="1">
        <v>0.42099999999999999</v>
      </c>
      <c r="Q227" s="1">
        <v>0.123</v>
      </c>
      <c r="R227" s="1">
        <v>8.0000000000000002E-3</v>
      </c>
      <c r="S227" s="1">
        <v>2E-3</v>
      </c>
    </row>
    <row r="228" spans="1:19" x14ac:dyDescent="0.3">
      <c r="A228">
        <v>227</v>
      </c>
      <c r="B228" t="s">
        <v>962</v>
      </c>
      <c r="C228">
        <v>8.5</v>
      </c>
      <c r="D228" s="2">
        <f t="shared" si="3"/>
        <v>8.4327145463973583</v>
      </c>
      <c r="E228" t="s">
        <v>963</v>
      </c>
      <c r="F228" t="s">
        <v>964</v>
      </c>
      <c r="G228">
        <v>2013</v>
      </c>
      <c r="H228" t="s">
        <v>64</v>
      </c>
      <c r="I228" t="s">
        <v>117</v>
      </c>
      <c r="J228">
        <v>89</v>
      </c>
      <c r="K228" t="s">
        <v>965</v>
      </c>
      <c r="L228" t="s">
        <v>965</v>
      </c>
      <c r="M228">
        <v>135255</v>
      </c>
      <c r="N228">
        <v>532327</v>
      </c>
      <c r="O228" s="1">
        <v>0.42799999999999999</v>
      </c>
      <c r="P228" s="1">
        <v>0.435</v>
      </c>
      <c r="Q228" s="1">
        <v>0.121</v>
      </c>
      <c r="R228" s="1">
        <v>1.2E-2</v>
      </c>
      <c r="S228" s="1">
        <v>4.0000000000000001E-3</v>
      </c>
    </row>
    <row r="229" spans="1:19" x14ac:dyDescent="0.3">
      <c r="A229">
        <v>228</v>
      </c>
      <c r="B229" t="s">
        <v>966</v>
      </c>
      <c r="C229">
        <v>8.6999999999999993</v>
      </c>
      <c r="D229" s="2">
        <f t="shared" si="3"/>
        <v>8.5960277715938087</v>
      </c>
      <c r="E229" t="s">
        <v>967</v>
      </c>
      <c r="F229" t="s">
        <v>968</v>
      </c>
      <c r="G229">
        <v>2003</v>
      </c>
      <c r="H229" t="s">
        <v>42</v>
      </c>
      <c r="I229" t="s">
        <v>64</v>
      </c>
      <c r="J229">
        <v>138</v>
      </c>
      <c r="K229" t="s">
        <v>694</v>
      </c>
      <c r="L229" t="s">
        <v>271</v>
      </c>
      <c r="M229">
        <v>46016</v>
      </c>
      <c r="N229">
        <v>383763</v>
      </c>
      <c r="O229" s="1">
        <v>0.46600000000000003</v>
      </c>
      <c r="P229" s="1">
        <v>0.41199999999999998</v>
      </c>
      <c r="Q229" s="1">
        <v>0.112</v>
      </c>
      <c r="R229" s="1">
        <v>8.0000000000000002E-3</v>
      </c>
      <c r="S229" s="1">
        <v>2E-3</v>
      </c>
    </row>
    <row r="230" spans="1:19" x14ac:dyDescent="0.3">
      <c r="A230">
        <v>229</v>
      </c>
      <c r="B230" t="s">
        <v>969</v>
      </c>
      <c r="C230">
        <v>8.8000000000000007</v>
      </c>
      <c r="D230" s="2">
        <f t="shared" si="3"/>
        <v>8.6433360372372832</v>
      </c>
      <c r="E230" t="s">
        <v>970</v>
      </c>
      <c r="F230" t="s">
        <v>971</v>
      </c>
      <c r="G230">
        <v>2008</v>
      </c>
      <c r="H230" t="s">
        <v>21</v>
      </c>
      <c r="I230" t="s">
        <v>132</v>
      </c>
      <c r="J230">
        <v>115</v>
      </c>
      <c r="K230" t="s">
        <v>547</v>
      </c>
      <c r="L230" t="s">
        <v>547</v>
      </c>
      <c r="M230">
        <v>81213</v>
      </c>
      <c r="N230">
        <v>262239</v>
      </c>
      <c r="O230" s="1">
        <v>0.50800000000000001</v>
      </c>
      <c r="P230" s="1">
        <v>0.40500000000000003</v>
      </c>
      <c r="Q230" s="1">
        <v>0.08</v>
      </c>
      <c r="R230" s="1">
        <v>6.0000000000000001E-3</v>
      </c>
      <c r="S230" s="1">
        <v>2E-3</v>
      </c>
    </row>
    <row r="231" spans="1:19" x14ac:dyDescent="0.3">
      <c r="A231">
        <v>230</v>
      </c>
      <c r="B231" t="s">
        <v>972</v>
      </c>
      <c r="C231">
        <v>8.8000000000000007</v>
      </c>
      <c r="D231" s="2">
        <f t="shared" si="3"/>
        <v>8.643149283540783</v>
      </c>
      <c r="E231" t="s">
        <v>973</v>
      </c>
      <c r="F231" t="s">
        <v>974</v>
      </c>
      <c r="G231">
        <v>1940</v>
      </c>
      <c r="H231" t="s">
        <v>21</v>
      </c>
      <c r="I231" t="s">
        <v>27</v>
      </c>
      <c r="J231">
        <v>108</v>
      </c>
      <c r="K231" t="s">
        <v>975</v>
      </c>
      <c r="L231" t="s">
        <v>976</v>
      </c>
      <c r="M231">
        <v>53550</v>
      </c>
      <c r="N231">
        <v>261897</v>
      </c>
      <c r="O231" s="1">
        <v>0.50900000000000001</v>
      </c>
      <c r="P231" s="1">
        <v>0.39900000000000002</v>
      </c>
      <c r="Q231" s="1">
        <v>8.5999999999999993E-2</v>
      </c>
      <c r="R231" s="1">
        <v>5.0000000000000001E-3</v>
      </c>
      <c r="S231" s="1">
        <v>1E-3</v>
      </c>
    </row>
    <row r="232" spans="1:19" x14ac:dyDescent="0.3">
      <c r="A232">
        <v>231</v>
      </c>
      <c r="B232" t="s">
        <v>977</v>
      </c>
      <c r="C232">
        <v>8.6999999999999993</v>
      </c>
      <c r="D232" s="2">
        <f t="shared" si="3"/>
        <v>8.5850378833986571</v>
      </c>
      <c r="E232" t="s">
        <v>978</v>
      </c>
      <c r="F232" t="s">
        <v>979</v>
      </c>
      <c r="G232">
        <v>2005</v>
      </c>
      <c r="H232" t="s">
        <v>21</v>
      </c>
      <c r="I232" t="s">
        <v>22</v>
      </c>
      <c r="J232">
        <v>122</v>
      </c>
      <c r="K232" t="s">
        <v>79</v>
      </c>
      <c r="L232" t="s">
        <v>79</v>
      </c>
      <c r="M232">
        <v>51507</v>
      </c>
      <c r="N232">
        <v>344687</v>
      </c>
      <c r="O232" s="1">
        <v>0.46300000000000002</v>
      </c>
      <c r="P232" s="1">
        <v>0.43</v>
      </c>
      <c r="Q232" s="1">
        <v>0.10100000000000001</v>
      </c>
      <c r="R232" s="1">
        <v>6.0000000000000001E-3</v>
      </c>
      <c r="S232" s="1">
        <v>1E-3</v>
      </c>
    </row>
    <row r="233" spans="1:19" x14ac:dyDescent="0.3">
      <c r="A233">
        <v>232</v>
      </c>
      <c r="B233" t="s">
        <v>980</v>
      </c>
      <c r="C233">
        <v>8.4</v>
      </c>
      <c r="D233" s="2">
        <f t="shared" si="3"/>
        <v>8.3589945462746549</v>
      </c>
      <c r="F233" t="s">
        <v>981</v>
      </c>
      <c r="G233">
        <v>2016</v>
      </c>
      <c r="H233" t="s">
        <v>21</v>
      </c>
      <c r="I233" t="s">
        <v>27</v>
      </c>
      <c r="J233">
        <v>128</v>
      </c>
      <c r="K233" t="s">
        <v>791</v>
      </c>
      <c r="L233" t="s">
        <v>791</v>
      </c>
      <c r="M233">
        <v>273563</v>
      </c>
      <c r="N233">
        <v>828545</v>
      </c>
      <c r="O233" s="1">
        <v>0.43099999999999999</v>
      </c>
      <c r="P233" s="1">
        <v>0.379</v>
      </c>
      <c r="Q233" s="1">
        <v>0.161</v>
      </c>
      <c r="R233" s="1">
        <v>2.1999999999999999E-2</v>
      </c>
      <c r="S233" s="1">
        <v>6.0000000000000001E-3</v>
      </c>
    </row>
    <row r="234" spans="1:19" x14ac:dyDescent="0.3">
      <c r="A234">
        <v>233</v>
      </c>
      <c r="B234" t="s">
        <v>982</v>
      </c>
      <c r="C234">
        <v>8.9</v>
      </c>
      <c r="D234" s="2">
        <f t="shared" si="3"/>
        <v>8.7108534293268782</v>
      </c>
      <c r="E234" t="s">
        <v>983</v>
      </c>
      <c r="F234" t="s">
        <v>984</v>
      </c>
      <c r="G234">
        <v>1991</v>
      </c>
      <c r="H234" t="s">
        <v>21</v>
      </c>
      <c r="I234" t="s">
        <v>103</v>
      </c>
      <c r="J234">
        <v>130</v>
      </c>
      <c r="K234" t="s">
        <v>985</v>
      </c>
      <c r="L234" t="s">
        <v>986</v>
      </c>
      <c r="M234">
        <v>63069</v>
      </c>
      <c r="N234">
        <v>226128</v>
      </c>
      <c r="O234" s="1">
        <v>0.53800000000000003</v>
      </c>
      <c r="P234" s="1">
        <v>0.372</v>
      </c>
      <c r="Q234" s="1">
        <v>8.2000000000000003E-2</v>
      </c>
      <c r="R234" s="1">
        <v>6.0000000000000001E-3</v>
      </c>
      <c r="S234" s="1">
        <v>2E-3</v>
      </c>
    </row>
    <row r="235" spans="1:19" x14ac:dyDescent="0.3">
      <c r="A235">
        <v>234</v>
      </c>
      <c r="B235" t="s">
        <v>987</v>
      </c>
      <c r="C235">
        <v>8.6999999999999993</v>
      </c>
      <c r="D235" s="2">
        <f t="shared" si="3"/>
        <v>8.5811424863873196</v>
      </c>
      <c r="E235" t="s">
        <v>988</v>
      </c>
      <c r="F235" t="s">
        <v>989</v>
      </c>
      <c r="G235">
        <v>2004</v>
      </c>
      <c r="H235" t="s">
        <v>42</v>
      </c>
      <c r="I235" t="s">
        <v>117</v>
      </c>
      <c r="J235">
        <v>108</v>
      </c>
      <c r="K235" t="s">
        <v>738</v>
      </c>
      <c r="L235" t="s">
        <v>990</v>
      </c>
      <c r="M235">
        <v>40779</v>
      </c>
      <c r="N235">
        <v>332571</v>
      </c>
      <c r="O235" s="1">
        <v>0.45900000000000002</v>
      </c>
      <c r="P235" s="1">
        <v>0.434</v>
      </c>
      <c r="Q235" s="1">
        <v>0.10100000000000001</v>
      </c>
      <c r="R235" s="1">
        <v>5.0000000000000001E-3</v>
      </c>
      <c r="S235" s="1">
        <v>1E-3</v>
      </c>
    </row>
    <row r="236" spans="1:19" x14ac:dyDescent="0.3">
      <c r="A236">
        <v>235</v>
      </c>
      <c r="B236" t="s">
        <v>991</v>
      </c>
      <c r="C236">
        <v>8.5</v>
      </c>
      <c r="D236" s="2">
        <f t="shared" si="3"/>
        <v>8.4466350176744829</v>
      </c>
      <c r="F236" t="s">
        <v>992</v>
      </c>
      <c r="G236">
        <v>2015</v>
      </c>
      <c r="H236" t="s">
        <v>21</v>
      </c>
      <c r="I236" t="s">
        <v>64</v>
      </c>
      <c r="J236">
        <v>142</v>
      </c>
      <c r="K236" t="s">
        <v>985</v>
      </c>
      <c r="L236" t="s">
        <v>993</v>
      </c>
      <c r="M236">
        <v>155977</v>
      </c>
      <c r="N236">
        <v>677708</v>
      </c>
      <c r="O236" s="1">
        <v>0.38900000000000001</v>
      </c>
      <c r="P236" s="1">
        <v>0.48699999999999999</v>
      </c>
      <c r="Q236" s="1">
        <v>0.11600000000000001</v>
      </c>
      <c r="R236" s="1">
        <v>7.0000000000000001E-3</v>
      </c>
      <c r="S236" s="1">
        <v>2E-3</v>
      </c>
    </row>
    <row r="237" spans="1:19" x14ac:dyDescent="0.3">
      <c r="A237">
        <v>236</v>
      </c>
      <c r="B237" t="s">
        <v>994</v>
      </c>
      <c r="C237">
        <v>8.8000000000000007</v>
      </c>
      <c r="D237" s="2">
        <f t="shared" si="3"/>
        <v>8.6486708254165769</v>
      </c>
      <c r="E237" t="s">
        <v>995</v>
      </c>
      <c r="F237" t="s">
        <v>996</v>
      </c>
      <c r="G237">
        <v>1994</v>
      </c>
      <c r="H237" t="s">
        <v>21</v>
      </c>
      <c r="I237" t="s">
        <v>27</v>
      </c>
      <c r="J237">
        <v>133</v>
      </c>
      <c r="K237" t="s">
        <v>958</v>
      </c>
      <c r="L237" t="s">
        <v>997</v>
      </c>
      <c r="M237">
        <v>62612</v>
      </c>
      <c r="N237">
        <v>272365</v>
      </c>
      <c r="O237" s="1">
        <v>0.51800000000000002</v>
      </c>
      <c r="P237" s="1">
        <v>0.36399999999999999</v>
      </c>
      <c r="Q237" s="1">
        <v>0.104</v>
      </c>
      <c r="R237" s="1">
        <v>1.0999999999999999E-2</v>
      </c>
      <c r="S237" s="1">
        <v>4.0000000000000001E-3</v>
      </c>
    </row>
    <row r="238" spans="1:19" x14ac:dyDescent="0.3">
      <c r="A238">
        <v>237</v>
      </c>
      <c r="B238" t="s">
        <v>998</v>
      </c>
      <c r="C238">
        <v>8.8000000000000007</v>
      </c>
      <c r="D238" s="2">
        <f t="shared" si="3"/>
        <v>8.6320061821724963</v>
      </c>
      <c r="E238" t="s">
        <v>999</v>
      </c>
      <c r="F238" t="s">
        <v>1000</v>
      </c>
      <c r="G238">
        <v>2001</v>
      </c>
      <c r="H238" t="s">
        <v>21</v>
      </c>
      <c r="I238" t="s">
        <v>27</v>
      </c>
      <c r="J238">
        <v>87</v>
      </c>
      <c r="K238" t="s">
        <v>444</v>
      </c>
      <c r="L238" t="s">
        <v>444</v>
      </c>
      <c r="M238">
        <v>76778</v>
      </c>
      <c r="N238">
        <v>242867</v>
      </c>
      <c r="O238" s="1">
        <v>0.53</v>
      </c>
      <c r="P238" s="1">
        <v>0.36099999999999999</v>
      </c>
      <c r="Q238" s="1">
        <v>9.8000000000000004E-2</v>
      </c>
      <c r="R238" s="1">
        <v>8.0000000000000002E-3</v>
      </c>
      <c r="S238" s="1">
        <v>3.0000000000000001E-3</v>
      </c>
    </row>
    <row r="239" spans="1:19" x14ac:dyDescent="0.3">
      <c r="A239">
        <v>238</v>
      </c>
      <c r="B239" t="s">
        <v>1001</v>
      </c>
      <c r="C239">
        <v>8.5</v>
      </c>
      <c r="D239" s="2">
        <f t="shared" si="3"/>
        <v>8.425524013044221</v>
      </c>
      <c r="E239" t="s">
        <v>1002</v>
      </c>
      <c r="F239" t="s">
        <v>1003</v>
      </c>
      <c r="G239">
        <v>1990</v>
      </c>
      <c r="H239" t="s">
        <v>21</v>
      </c>
      <c r="I239" t="s">
        <v>27</v>
      </c>
      <c r="J239">
        <v>94</v>
      </c>
      <c r="K239" t="s">
        <v>406</v>
      </c>
      <c r="L239" t="s">
        <v>406</v>
      </c>
      <c r="M239">
        <v>106202</v>
      </c>
      <c r="N239">
        <v>478518</v>
      </c>
      <c r="O239" s="1">
        <v>0.39900000000000002</v>
      </c>
      <c r="P239" s="1">
        <v>0.46400000000000002</v>
      </c>
      <c r="Q239" s="1">
        <v>0.128</v>
      </c>
      <c r="R239" s="1">
        <v>8.0000000000000002E-3</v>
      </c>
      <c r="S239" s="1">
        <v>2E-3</v>
      </c>
    </row>
    <row r="240" spans="1:19" x14ac:dyDescent="0.3">
      <c r="A240">
        <v>239</v>
      </c>
      <c r="B240" t="s">
        <v>1004</v>
      </c>
      <c r="C240">
        <v>8.6</v>
      </c>
      <c r="D240" s="2">
        <f t="shared" si="3"/>
        <v>8.5070670836256852</v>
      </c>
      <c r="E240" t="s">
        <v>1005</v>
      </c>
      <c r="F240" t="s">
        <v>1006</v>
      </c>
      <c r="G240">
        <v>2013</v>
      </c>
      <c r="H240" t="s">
        <v>47</v>
      </c>
      <c r="I240" t="s">
        <v>27</v>
      </c>
      <c r="J240">
        <v>104</v>
      </c>
      <c r="K240" t="s">
        <v>1007</v>
      </c>
      <c r="L240" t="s">
        <v>1007</v>
      </c>
      <c r="M240">
        <v>116348</v>
      </c>
      <c r="N240">
        <v>405418</v>
      </c>
      <c r="O240" s="1">
        <v>0.437</v>
      </c>
      <c r="P240" s="1">
        <v>0.42899999999999999</v>
      </c>
      <c r="Q240" s="1">
        <v>0.123</v>
      </c>
      <c r="R240" s="1">
        <v>8.0000000000000002E-3</v>
      </c>
      <c r="S240" s="1">
        <v>2E-3</v>
      </c>
    </row>
    <row r="241" spans="1:19" x14ac:dyDescent="0.3">
      <c r="A241">
        <v>240</v>
      </c>
      <c r="B241" t="s">
        <v>1008</v>
      </c>
      <c r="C241">
        <v>8.6</v>
      </c>
      <c r="D241" s="2">
        <f t="shared" si="3"/>
        <v>8.5059938331954577</v>
      </c>
      <c r="E241" t="s">
        <v>1009</v>
      </c>
      <c r="F241" t="s">
        <v>1010</v>
      </c>
      <c r="G241">
        <v>2002</v>
      </c>
      <c r="H241" t="s">
        <v>42</v>
      </c>
      <c r="I241" t="s">
        <v>117</v>
      </c>
      <c r="J241">
        <v>119</v>
      </c>
      <c r="K241" t="s">
        <v>1011</v>
      </c>
      <c r="L241" t="s">
        <v>739</v>
      </c>
      <c r="M241">
        <v>59584</v>
      </c>
      <c r="N241">
        <v>400504</v>
      </c>
      <c r="O241" s="1">
        <v>0.438</v>
      </c>
      <c r="P241" s="1">
        <v>0.43</v>
      </c>
      <c r="Q241" s="1">
        <v>0.123</v>
      </c>
      <c r="R241" s="1">
        <v>7.0000000000000001E-3</v>
      </c>
      <c r="S241" s="1">
        <v>1E-3</v>
      </c>
    </row>
    <row r="242" spans="1:19" x14ac:dyDescent="0.3">
      <c r="A242">
        <v>241</v>
      </c>
      <c r="B242" t="s">
        <v>1012</v>
      </c>
      <c r="C242">
        <v>8.6</v>
      </c>
      <c r="D242" s="2">
        <f t="shared" si="3"/>
        <v>8.5259408748974739</v>
      </c>
      <c r="F242" t="s">
        <v>1013</v>
      </c>
      <c r="G242">
        <v>2021</v>
      </c>
      <c r="H242" t="s">
        <v>21</v>
      </c>
      <c r="I242" t="s">
        <v>27</v>
      </c>
      <c r="J242">
        <v>124</v>
      </c>
      <c r="K242" t="s">
        <v>1014</v>
      </c>
      <c r="L242" t="s">
        <v>1015</v>
      </c>
      <c r="M242">
        <v>211987</v>
      </c>
      <c r="N242">
        <v>515109</v>
      </c>
      <c r="O242" s="1">
        <v>0.44400000000000001</v>
      </c>
      <c r="P242" s="1">
        <v>0.42799999999999999</v>
      </c>
      <c r="Q242" s="1">
        <v>0.115</v>
      </c>
      <c r="R242" s="1">
        <v>0.01</v>
      </c>
      <c r="S242" s="1">
        <v>3.0000000000000001E-3</v>
      </c>
    </row>
    <row r="243" spans="1:19" x14ac:dyDescent="0.3">
      <c r="A243">
        <v>242</v>
      </c>
      <c r="B243" t="s">
        <v>1016</v>
      </c>
      <c r="C243">
        <v>8.6</v>
      </c>
      <c r="D243" s="2">
        <f t="shared" si="3"/>
        <v>8.5132783807339241</v>
      </c>
      <c r="E243" t="s">
        <v>1017</v>
      </c>
      <c r="F243" t="s">
        <v>1018</v>
      </c>
      <c r="G243">
        <v>2008</v>
      </c>
      <c r="H243" t="s">
        <v>21</v>
      </c>
      <c r="I243" t="s">
        <v>27</v>
      </c>
      <c r="J243">
        <v>124</v>
      </c>
      <c r="K243" t="s">
        <v>1019</v>
      </c>
      <c r="L243" t="s">
        <v>1020</v>
      </c>
      <c r="M243">
        <v>82356</v>
      </c>
      <c r="N243">
        <v>436246</v>
      </c>
      <c r="O243" s="1">
        <v>0.42599999999999999</v>
      </c>
      <c r="P243" s="1">
        <v>0.45600000000000002</v>
      </c>
      <c r="Q243" s="1">
        <v>0.11</v>
      </c>
      <c r="R243" s="1">
        <v>6.0000000000000001E-3</v>
      </c>
      <c r="S243" s="1">
        <v>1E-3</v>
      </c>
    </row>
    <row r="244" spans="1:19" x14ac:dyDescent="0.3">
      <c r="A244">
        <v>243</v>
      </c>
      <c r="B244" t="s">
        <v>1021</v>
      </c>
      <c r="C244">
        <v>9.1</v>
      </c>
      <c r="D244" s="2">
        <f t="shared" si="3"/>
        <v>8.8034936914753015</v>
      </c>
      <c r="E244" t="s">
        <v>1022</v>
      </c>
      <c r="F244" t="s">
        <v>1023</v>
      </c>
      <c r="G244">
        <v>2009</v>
      </c>
      <c r="H244" t="s">
        <v>381</v>
      </c>
      <c r="J244">
        <v>104</v>
      </c>
      <c r="K244" t="s">
        <v>1024</v>
      </c>
      <c r="L244" t="s">
        <v>1025</v>
      </c>
      <c r="M244">
        <v>45204</v>
      </c>
      <c r="N244">
        <v>152062</v>
      </c>
      <c r="O244" s="1">
        <v>0.625</v>
      </c>
      <c r="P244" s="1">
        <v>0.29899999999999999</v>
      </c>
      <c r="Q244" s="1">
        <v>6.9000000000000006E-2</v>
      </c>
      <c r="R244" s="1">
        <v>5.0000000000000001E-3</v>
      </c>
      <c r="S244" s="1">
        <v>2E-3</v>
      </c>
    </row>
    <row r="245" spans="1:19" x14ac:dyDescent="0.3">
      <c r="A245">
        <v>244</v>
      </c>
      <c r="B245" t="s">
        <v>1026</v>
      </c>
      <c r="C245">
        <v>8.5</v>
      </c>
      <c r="D245" s="2">
        <f t="shared" si="3"/>
        <v>8.4312319025290172</v>
      </c>
      <c r="E245" t="s">
        <v>1027</v>
      </c>
      <c r="F245" t="s">
        <v>1028</v>
      </c>
      <c r="G245">
        <v>2006</v>
      </c>
      <c r="H245" t="s">
        <v>21</v>
      </c>
      <c r="I245" t="s">
        <v>22</v>
      </c>
      <c r="J245">
        <v>147</v>
      </c>
      <c r="K245" t="s">
        <v>1029</v>
      </c>
      <c r="L245" t="s">
        <v>1030</v>
      </c>
      <c r="M245">
        <v>114991</v>
      </c>
      <c r="N245">
        <v>520311</v>
      </c>
      <c r="O245" s="1">
        <v>0.42199999999999999</v>
      </c>
      <c r="P245" s="1">
        <v>0.43099999999999999</v>
      </c>
      <c r="Q245" s="1">
        <v>0.128</v>
      </c>
      <c r="R245" s="1">
        <v>1.4E-2</v>
      </c>
      <c r="S245" s="1">
        <v>6.0000000000000001E-3</v>
      </c>
    </row>
    <row r="246" spans="1:19" x14ac:dyDescent="0.3">
      <c r="A246">
        <v>245</v>
      </c>
      <c r="B246" t="s">
        <v>1031</v>
      </c>
      <c r="C246">
        <v>8.6</v>
      </c>
      <c r="D246" s="2">
        <f t="shared" si="3"/>
        <v>8.4970300903818377</v>
      </c>
      <c r="E246" t="s">
        <v>1032</v>
      </c>
      <c r="F246" t="s">
        <v>1033</v>
      </c>
      <c r="G246">
        <v>2006</v>
      </c>
      <c r="H246" t="s">
        <v>21</v>
      </c>
      <c r="I246" t="s">
        <v>27</v>
      </c>
      <c r="J246">
        <v>98</v>
      </c>
      <c r="K246" t="s">
        <v>1034</v>
      </c>
      <c r="L246" t="s">
        <v>1035</v>
      </c>
      <c r="M246">
        <v>84596</v>
      </c>
      <c r="N246">
        <v>363463</v>
      </c>
      <c r="O246" s="1">
        <v>0.45800000000000002</v>
      </c>
      <c r="P246" s="1">
        <v>0.40699999999999997</v>
      </c>
      <c r="Q246" s="1">
        <v>0.122</v>
      </c>
      <c r="R246" s="1">
        <v>0.01</v>
      </c>
      <c r="S246" s="1">
        <v>2E-3</v>
      </c>
    </row>
    <row r="247" spans="1:19" x14ac:dyDescent="0.3">
      <c r="A247">
        <v>246</v>
      </c>
      <c r="B247" t="s">
        <v>1036</v>
      </c>
      <c r="C247">
        <v>8.9</v>
      </c>
      <c r="D247" s="2">
        <f t="shared" si="3"/>
        <v>8.6834027204618316</v>
      </c>
      <c r="E247" t="s">
        <v>1037</v>
      </c>
      <c r="F247" t="s">
        <v>1038</v>
      </c>
      <c r="G247">
        <v>2007</v>
      </c>
      <c r="H247" t="s">
        <v>21</v>
      </c>
      <c r="I247" t="s">
        <v>132</v>
      </c>
      <c r="J247">
        <v>165</v>
      </c>
      <c r="K247" t="s">
        <v>1039</v>
      </c>
      <c r="L247" t="s">
        <v>1040</v>
      </c>
      <c r="M247">
        <v>49632</v>
      </c>
      <c r="N247">
        <v>194301</v>
      </c>
      <c r="O247" s="1">
        <v>0.54900000000000004</v>
      </c>
      <c r="P247" s="1">
        <v>0.36</v>
      </c>
      <c r="Q247" s="1">
        <v>8.3000000000000004E-2</v>
      </c>
      <c r="R247" s="1">
        <v>7.0000000000000001E-3</v>
      </c>
      <c r="S247" s="1">
        <v>2E-3</v>
      </c>
    </row>
    <row r="248" spans="1:19" x14ac:dyDescent="0.3">
      <c r="A248">
        <v>247</v>
      </c>
      <c r="B248" t="s">
        <v>1041</v>
      </c>
      <c r="C248">
        <v>9</v>
      </c>
      <c r="D248" s="2">
        <f t="shared" si="3"/>
        <v>8.7252022511431591</v>
      </c>
      <c r="E248" t="s">
        <v>1042</v>
      </c>
      <c r="F248" t="s">
        <v>1043</v>
      </c>
      <c r="G248">
        <v>2011</v>
      </c>
      <c r="H248" t="s">
        <v>21</v>
      </c>
      <c r="I248" t="s">
        <v>27</v>
      </c>
      <c r="J248">
        <v>118</v>
      </c>
      <c r="K248" t="s">
        <v>1044</v>
      </c>
      <c r="L248" t="s">
        <v>1045</v>
      </c>
      <c r="M248">
        <v>52980</v>
      </c>
      <c r="N248">
        <v>156952</v>
      </c>
      <c r="O248" s="1">
        <v>0.61399999999999999</v>
      </c>
      <c r="P248" s="1">
        <v>0.308</v>
      </c>
      <c r="Q248" s="1">
        <v>7.0000000000000007E-2</v>
      </c>
      <c r="R248" s="1">
        <v>6.0000000000000001E-3</v>
      </c>
      <c r="S248" s="1">
        <v>2E-3</v>
      </c>
    </row>
    <row r="249" spans="1:19" x14ac:dyDescent="0.3">
      <c r="A249">
        <v>248</v>
      </c>
      <c r="B249" t="s">
        <v>1046</v>
      </c>
      <c r="C249">
        <v>8.6999999999999993</v>
      </c>
      <c r="D249" s="2">
        <f t="shared" si="3"/>
        <v>8.5599384388244051</v>
      </c>
      <c r="E249" t="s">
        <v>1047</v>
      </c>
      <c r="F249" t="s">
        <v>1048</v>
      </c>
      <c r="G249">
        <v>2009</v>
      </c>
      <c r="H249" t="s">
        <v>21</v>
      </c>
      <c r="I249" t="s">
        <v>132</v>
      </c>
      <c r="J249">
        <v>129</v>
      </c>
      <c r="K249" t="s">
        <v>543</v>
      </c>
      <c r="L249" t="s">
        <v>543</v>
      </c>
      <c r="M249">
        <v>64878</v>
      </c>
      <c r="N249">
        <v>278438</v>
      </c>
      <c r="O249" s="1">
        <v>0.48299999999999998</v>
      </c>
      <c r="P249" s="1">
        <v>0.41</v>
      </c>
      <c r="Q249" s="1">
        <v>9.8000000000000004E-2</v>
      </c>
      <c r="R249" s="1">
        <v>7.0000000000000001E-3</v>
      </c>
      <c r="S249" s="1">
        <v>2E-3</v>
      </c>
    </row>
    <row r="250" spans="1:19" x14ac:dyDescent="0.3">
      <c r="A250">
        <v>249</v>
      </c>
      <c r="B250" t="s">
        <v>1049</v>
      </c>
      <c r="C250">
        <v>8.5</v>
      </c>
      <c r="D250" s="2">
        <f t="shared" si="3"/>
        <v>8.4314191660570597</v>
      </c>
      <c r="E250" t="s">
        <v>1050</v>
      </c>
      <c r="F250" t="s">
        <v>1051</v>
      </c>
      <c r="G250">
        <v>2010</v>
      </c>
      <c r="H250" t="s">
        <v>146</v>
      </c>
      <c r="I250" t="s">
        <v>167</v>
      </c>
      <c r="J250">
        <v>146</v>
      </c>
      <c r="K250" t="s">
        <v>360</v>
      </c>
      <c r="L250" t="s">
        <v>169</v>
      </c>
      <c r="M250">
        <v>75679</v>
      </c>
      <c r="N250">
        <v>521800</v>
      </c>
      <c r="O250" s="1">
        <v>0.41799999999999998</v>
      </c>
      <c r="P250" s="1">
        <v>0.42099999999999999</v>
      </c>
      <c r="Q250" s="1">
        <v>0.14599999999999999</v>
      </c>
      <c r="R250" s="1">
        <v>1.2E-2</v>
      </c>
      <c r="S250" s="1">
        <v>3.0000000000000001E-3</v>
      </c>
    </row>
    <row r="251" spans="1:19" x14ac:dyDescent="0.3">
      <c r="A251">
        <v>250</v>
      </c>
      <c r="B251" t="s">
        <v>1052</v>
      </c>
      <c r="C251">
        <v>8.5</v>
      </c>
      <c r="D251" s="2">
        <f t="shared" si="3"/>
        <v>8.428646587499264</v>
      </c>
      <c r="E251" t="s">
        <v>1053</v>
      </c>
      <c r="F251" t="s">
        <v>1054</v>
      </c>
      <c r="G251">
        <v>2016</v>
      </c>
      <c r="H251" t="s">
        <v>21</v>
      </c>
      <c r="I251" t="s">
        <v>47</v>
      </c>
      <c r="J251">
        <v>97</v>
      </c>
      <c r="K251" t="s">
        <v>1055</v>
      </c>
      <c r="L251" t="s">
        <v>1055</v>
      </c>
      <c r="M251">
        <v>149847</v>
      </c>
      <c r="N251">
        <v>500553</v>
      </c>
      <c r="O251" s="1">
        <v>0.40100000000000002</v>
      </c>
      <c r="P251" s="1">
        <v>0.46899999999999997</v>
      </c>
      <c r="Q251" s="1">
        <v>0.12</v>
      </c>
      <c r="R251" s="1">
        <v>8.0000000000000002E-3</v>
      </c>
      <c r="S251" s="1">
        <v>2E-3</v>
      </c>
    </row>
  </sheetData>
  <autoFilter ref="A1:T251" xr:uid="{00000000-0001-0000-01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top250_data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boy</dc:creator>
  <cp:lastModifiedBy>Hi boy</cp:lastModifiedBy>
  <dcterms:modified xsi:type="dcterms:W3CDTF">2022-11-28T09:06:26Z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1b01f7db-692c-458e-8f97-1e94d1b12589</vt:lpwstr>
  </property>
</Properties>
</file>